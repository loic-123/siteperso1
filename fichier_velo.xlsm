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oic\PERSO\velo\"/>
    </mc:Choice>
  </mc:AlternateContent>
  <xr:revisionPtr revIDLastSave="0" documentId="13_ncr:1_{E1CF23AB-EFBD-4D6B-8227-073EAD2076A4}" xr6:coauthVersionLast="47" xr6:coauthVersionMax="47" xr10:uidLastSave="{00000000-0000-0000-0000-000000000000}"/>
  <bookViews>
    <workbookView xWindow="-108" yWindow="-108" windowWidth="23256" windowHeight="12456" firstSheet="1" activeTab="3" xr2:uid="{14E148BA-AA2F-434E-BBC8-21CCD3ADFF23}"/>
  </bookViews>
  <sheets>
    <sheet name="répartition" sheetId="1" r:id="rId1"/>
    <sheet name="W ou WpKg constant" sheetId="2" r:id="rId2"/>
    <sheet name="2 profils" sheetId="3" r:id="rId3"/>
    <sheet name="temps de montée" sheetId="6" r:id="rId4"/>
    <sheet name="puissance 2E %V" sheetId="5" r:id="rId5"/>
    <sheet name="vitesse en fonction du CdA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" i="7"/>
  <c r="J38" i="7"/>
  <c r="J30" i="7"/>
  <c r="M29" i="7"/>
  <c r="M24" i="7"/>
  <c r="J24" i="7"/>
  <c r="M22" i="7"/>
  <c r="J22" i="7"/>
  <c r="L15" i="7"/>
  <c r="K15" i="7"/>
  <c r="J15" i="7"/>
  <c r="L14" i="7"/>
  <c r="K14" i="7"/>
  <c r="J14" i="7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3" i="6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31" i="3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3" i="6"/>
  <c r="U15" i="6"/>
  <c r="T15" i="6"/>
  <c r="S15" i="6"/>
  <c r="V24" i="6"/>
  <c r="S24" i="6"/>
  <c r="T14" i="6"/>
  <c r="U14" i="6"/>
  <c r="S14" i="6"/>
  <c r="B4" i="6"/>
  <c r="E4" i="6" s="1"/>
  <c r="B5" i="6"/>
  <c r="E5" i="6" s="1"/>
  <c r="B6" i="6"/>
  <c r="E6" i="6" s="1"/>
  <c r="B7" i="6"/>
  <c r="E7" i="6" s="1"/>
  <c r="B8" i="6"/>
  <c r="E8" i="6" s="1"/>
  <c r="B9" i="6"/>
  <c r="E9" i="6" s="1"/>
  <c r="B10" i="6"/>
  <c r="E10" i="6" s="1"/>
  <c r="B11" i="6"/>
  <c r="E11" i="6" s="1"/>
  <c r="B12" i="6"/>
  <c r="E12" i="6" s="1"/>
  <c r="B13" i="6"/>
  <c r="E13" i="6" s="1"/>
  <c r="B14" i="6"/>
  <c r="E14" i="6" s="1"/>
  <c r="B15" i="6"/>
  <c r="E15" i="6" s="1"/>
  <c r="B16" i="6"/>
  <c r="E16" i="6" s="1"/>
  <c r="B17" i="6"/>
  <c r="E17" i="6" s="1"/>
  <c r="B18" i="6"/>
  <c r="E18" i="6" s="1"/>
  <c r="B19" i="6"/>
  <c r="E19" i="6" s="1"/>
  <c r="B20" i="6"/>
  <c r="E20" i="6" s="1"/>
  <c r="B21" i="6"/>
  <c r="E21" i="6" s="1"/>
  <c r="B22" i="6"/>
  <c r="E22" i="6" s="1"/>
  <c r="B23" i="6"/>
  <c r="E23" i="6" s="1"/>
  <c r="B24" i="6"/>
  <c r="E24" i="6" s="1"/>
  <c r="B25" i="6"/>
  <c r="E25" i="6" s="1"/>
  <c r="B26" i="6"/>
  <c r="E26" i="6" s="1"/>
  <c r="B27" i="6"/>
  <c r="E27" i="6" s="1"/>
  <c r="B28" i="6"/>
  <c r="E28" i="6" s="1"/>
  <c r="B3" i="6"/>
  <c r="E3" i="6" s="1"/>
  <c r="S30" i="6"/>
  <c r="S38" i="6" s="1"/>
  <c r="V29" i="6"/>
  <c r="J7" i="6" s="1"/>
  <c r="V22" i="6"/>
  <c r="S22" i="6"/>
  <c r="AC19" i="5"/>
  <c r="AB21" i="5" s="1"/>
  <c r="AE15" i="5"/>
  <c r="C21" i="2"/>
  <c r="C28" i="2"/>
  <c r="P14" i="3"/>
  <c r="M14" i="3"/>
  <c r="M19" i="3"/>
  <c r="M25" i="3" s="1"/>
  <c r="G7" i="3" s="1"/>
  <c r="P18" i="3"/>
  <c r="F42" i="2"/>
  <c r="E42" i="2"/>
  <c r="F41" i="2"/>
  <c r="E41" i="2"/>
  <c r="F36" i="2"/>
  <c r="E36" i="2"/>
  <c r="F35" i="2"/>
  <c r="E35" i="2"/>
  <c r="B1" i="1"/>
  <c r="AA20" i="2"/>
  <c r="Z22" i="2" s="1"/>
  <c r="AC16" i="2"/>
  <c r="B2" i="1"/>
  <c r="F1" i="1"/>
  <c r="B10" i="1" s="1"/>
  <c r="M16" i="1"/>
  <c r="K20" i="1"/>
  <c r="J22" i="1" s="1"/>
  <c r="K9" i="1"/>
  <c r="J6" i="1" s="1"/>
  <c r="T16" i="5"/>
  <c r="E23" i="3" l="1"/>
  <c r="G12" i="3"/>
  <c r="G6" i="3"/>
  <c r="E22" i="3"/>
  <c r="G8" i="3"/>
  <c r="E11" i="3"/>
  <c r="E10" i="3"/>
  <c r="F25" i="3"/>
  <c r="F24" i="3"/>
  <c r="F13" i="3"/>
  <c r="F12" i="3"/>
  <c r="G26" i="3"/>
  <c r="G25" i="3"/>
  <c r="E26" i="3"/>
  <c r="E14" i="3"/>
  <c r="F28" i="3"/>
  <c r="F16" i="3"/>
  <c r="F4" i="3"/>
  <c r="G17" i="3"/>
  <c r="G5" i="3"/>
  <c r="E27" i="3"/>
  <c r="E15" i="3"/>
  <c r="F3" i="3"/>
  <c r="F17" i="3"/>
  <c r="F5" i="3"/>
  <c r="G18" i="3"/>
  <c r="F38" i="2"/>
  <c r="F39" i="2" s="1"/>
  <c r="E25" i="3"/>
  <c r="E13" i="3"/>
  <c r="F27" i="3"/>
  <c r="F15" i="3"/>
  <c r="G28" i="3"/>
  <c r="G16" i="3"/>
  <c r="G4" i="3"/>
  <c r="E24" i="3"/>
  <c r="E12" i="3"/>
  <c r="F26" i="3"/>
  <c r="F14" i="3"/>
  <c r="G27" i="3"/>
  <c r="G15" i="3"/>
  <c r="G14" i="3"/>
  <c r="G13" i="3"/>
  <c r="E21" i="3"/>
  <c r="E9" i="3"/>
  <c r="F23" i="3"/>
  <c r="F11" i="3"/>
  <c r="G24" i="3"/>
  <c r="E20" i="3"/>
  <c r="E8" i="3"/>
  <c r="F22" i="3"/>
  <c r="F10" i="3"/>
  <c r="G23" i="3"/>
  <c r="G11" i="3"/>
  <c r="E19" i="3"/>
  <c r="E7" i="3"/>
  <c r="F21" i="3"/>
  <c r="F9" i="3"/>
  <c r="G22" i="3"/>
  <c r="G10" i="3"/>
  <c r="E18" i="3"/>
  <c r="E6" i="3"/>
  <c r="F20" i="3"/>
  <c r="F8" i="3"/>
  <c r="G21" i="3"/>
  <c r="G9" i="3"/>
  <c r="E3" i="3"/>
  <c r="E17" i="3"/>
  <c r="E5" i="3"/>
  <c r="F19" i="3"/>
  <c r="F7" i="3"/>
  <c r="G20" i="3"/>
  <c r="E28" i="3"/>
  <c r="E16" i="3"/>
  <c r="E4" i="3"/>
  <c r="F18" i="3"/>
  <c r="F6" i="3"/>
  <c r="G19" i="3"/>
  <c r="J27" i="6"/>
  <c r="G8" i="6"/>
  <c r="K26" i="6"/>
  <c r="M26" i="6" s="1"/>
  <c r="K27" i="6"/>
  <c r="M27" i="6" s="1"/>
  <c r="K15" i="6"/>
  <c r="M15" i="6" s="1"/>
  <c r="K14" i="6"/>
  <c r="M14" i="6" s="1"/>
  <c r="H25" i="6"/>
  <c r="L25" i="6" s="1"/>
  <c r="H24" i="6"/>
  <c r="L24" i="6" s="1"/>
  <c r="H11" i="6"/>
  <c r="L11" i="6" s="1"/>
  <c r="H10" i="6"/>
  <c r="L10" i="6" s="1"/>
  <c r="K11" i="6"/>
  <c r="M11" i="6" s="1"/>
  <c r="K21" i="6"/>
  <c r="M21" i="6" s="1"/>
  <c r="H18" i="6"/>
  <c r="L18" i="6" s="1"/>
  <c r="H17" i="6"/>
  <c r="L17" i="6" s="1"/>
  <c r="K7" i="6"/>
  <c r="M7" i="6" s="1"/>
  <c r="G15" i="6"/>
  <c r="H28" i="6"/>
  <c r="L28" i="6" s="1"/>
  <c r="H16" i="6"/>
  <c r="L16" i="6" s="1"/>
  <c r="H4" i="6"/>
  <c r="L4" i="6" s="1"/>
  <c r="K18" i="6"/>
  <c r="M18" i="6" s="1"/>
  <c r="K6" i="6"/>
  <c r="M6" i="6" s="1"/>
  <c r="H13" i="6"/>
  <c r="L13" i="6" s="1"/>
  <c r="H12" i="6"/>
  <c r="L12" i="6" s="1"/>
  <c r="H23" i="6"/>
  <c r="L23" i="6" s="1"/>
  <c r="K25" i="6"/>
  <c r="M25" i="6" s="1"/>
  <c r="H22" i="6"/>
  <c r="L22" i="6" s="1"/>
  <c r="K24" i="6"/>
  <c r="M24" i="6" s="1"/>
  <c r="H21" i="6"/>
  <c r="L21" i="6" s="1"/>
  <c r="K23" i="6"/>
  <c r="M23" i="6" s="1"/>
  <c r="H19" i="6"/>
  <c r="L19" i="6" s="1"/>
  <c r="H7" i="6"/>
  <c r="L7" i="6" s="1"/>
  <c r="K9" i="6"/>
  <c r="M9" i="6" s="1"/>
  <c r="J9" i="6"/>
  <c r="K20" i="6"/>
  <c r="M20" i="6" s="1"/>
  <c r="J8" i="6"/>
  <c r="K19" i="6"/>
  <c r="M19" i="6" s="1"/>
  <c r="G14" i="6"/>
  <c r="H27" i="6"/>
  <c r="L27" i="6" s="1"/>
  <c r="H15" i="6"/>
  <c r="L15" i="6" s="1"/>
  <c r="K3" i="6"/>
  <c r="M3" i="6" s="1"/>
  <c r="K17" i="6"/>
  <c r="M17" i="6" s="1"/>
  <c r="K5" i="6"/>
  <c r="M5" i="6" s="1"/>
  <c r="K13" i="6"/>
  <c r="M13" i="6" s="1"/>
  <c r="K12" i="6"/>
  <c r="M12" i="6" s="1"/>
  <c r="H9" i="6"/>
  <c r="L9" i="6" s="1"/>
  <c r="H20" i="6"/>
  <c r="L20" i="6" s="1"/>
  <c r="H8" i="6"/>
  <c r="L8" i="6" s="1"/>
  <c r="K22" i="6"/>
  <c r="M22" i="6" s="1"/>
  <c r="K10" i="6"/>
  <c r="M10" i="6" s="1"/>
  <c r="H6" i="6"/>
  <c r="L6" i="6" s="1"/>
  <c r="K8" i="6"/>
  <c r="M8" i="6" s="1"/>
  <c r="H3" i="6"/>
  <c r="L3" i="6" s="1"/>
  <c r="H5" i="6"/>
  <c r="L5" i="6" s="1"/>
  <c r="H26" i="6"/>
  <c r="L26" i="6" s="1"/>
  <c r="H14" i="6"/>
  <c r="L14" i="6" s="1"/>
  <c r="K28" i="6"/>
  <c r="M28" i="6" s="1"/>
  <c r="K16" i="6"/>
  <c r="M16" i="6" s="1"/>
  <c r="K4" i="6"/>
  <c r="M4" i="6" s="1"/>
  <c r="J13" i="6"/>
  <c r="G4" i="6"/>
  <c r="J28" i="6"/>
  <c r="J26" i="6"/>
  <c r="J14" i="6"/>
  <c r="G5" i="6"/>
  <c r="G27" i="6"/>
  <c r="G28" i="6"/>
  <c r="G16" i="6"/>
  <c r="G6" i="6"/>
  <c r="J25" i="6"/>
  <c r="G10" i="6"/>
  <c r="J15" i="6"/>
  <c r="G9" i="6"/>
  <c r="J21" i="6"/>
  <c r="G22" i="6"/>
  <c r="J20" i="6"/>
  <c r="G21" i="6"/>
  <c r="J19" i="6"/>
  <c r="G20" i="6"/>
  <c r="J22" i="6"/>
  <c r="G26" i="6"/>
  <c r="J24" i="6"/>
  <c r="J12" i="6"/>
  <c r="G25" i="6"/>
  <c r="G13" i="6"/>
  <c r="J23" i="6"/>
  <c r="J11" i="6"/>
  <c r="G24" i="6"/>
  <c r="G12" i="6"/>
  <c r="J10" i="6"/>
  <c r="G23" i="6"/>
  <c r="G11" i="6"/>
  <c r="J18" i="6"/>
  <c r="J6" i="6"/>
  <c r="G19" i="6"/>
  <c r="G7" i="6"/>
  <c r="J17" i="6"/>
  <c r="J5" i="6"/>
  <c r="G18" i="6"/>
  <c r="J16" i="6"/>
  <c r="J4" i="6"/>
  <c r="G17" i="6"/>
  <c r="D4" i="6"/>
  <c r="G3" i="6"/>
  <c r="J3" i="6"/>
  <c r="D19" i="6"/>
  <c r="D3" i="6"/>
  <c r="D28" i="6"/>
  <c r="D27" i="6"/>
  <c r="D15" i="6"/>
  <c r="D18" i="6"/>
  <c r="D6" i="6"/>
  <c r="D17" i="6"/>
  <c r="D5" i="6"/>
  <c r="D16" i="6"/>
  <c r="D26" i="6"/>
  <c r="D14" i="6"/>
  <c r="D13" i="6"/>
  <c r="D11" i="6"/>
  <c r="D25" i="6"/>
  <c r="D24" i="6"/>
  <c r="D12" i="6"/>
  <c r="D23" i="6"/>
  <c r="D22" i="6"/>
  <c r="D10" i="6"/>
  <c r="D9" i="6"/>
  <c r="D21" i="6"/>
  <c r="D20" i="6"/>
  <c r="D8" i="6"/>
  <c r="D7" i="6"/>
  <c r="G1" i="1"/>
  <c r="C16" i="2"/>
  <c r="D16" i="2" s="1"/>
  <c r="C27" i="2"/>
  <c r="D27" i="2" s="1"/>
  <c r="C23" i="2"/>
  <c r="D23" i="2" s="1"/>
  <c r="C11" i="2"/>
  <c r="D11" i="2" s="1"/>
  <c r="E25" i="2"/>
  <c r="F25" i="2" s="1"/>
  <c r="E13" i="2"/>
  <c r="F13" i="2" s="1"/>
  <c r="G27" i="2"/>
  <c r="H27" i="2" s="1"/>
  <c r="G15" i="2"/>
  <c r="H15" i="2" s="1"/>
  <c r="N3" i="2"/>
  <c r="O3" i="2" s="1"/>
  <c r="N17" i="2"/>
  <c r="O17" i="2" s="1"/>
  <c r="N5" i="2"/>
  <c r="O5" i="2" s="1"/>
  <c r="P19" i="2"/>
  <c r="P7" i="2"/>
  <c r="Q7" i="2" s="1"/>
  <c r="R21" i="2"/>
  <c r="S21" i="2" s="1"/>
  <c r="R9" i="2"/>
  <c r="S9" i="2" s="1"/>
  <c r="C22" i="2"/>
  <c r="D22" i="2" s="1"/>
  <c r="C10" i="2"/>
  <c r="D10" i="2" s="1"/>
  <c r="E24" i="2"/>
  <c r="F24" i="2" s="1"/>
  <c r="E12" i="2"/>
  <c r="F12" i="2" s="1"/>
  <c r="G26" i="2"/>
  <c r="H26" i="2" s="1"/>
  <c r="G14" i="2"/>
  <c r="H14" i="2" s="1"/>
  <c r="N28" i="2"/>
  <c r="O28" i="2" s="1"/>
  <c r="N16" i="2"/>
  <c r="O16" i="2" s="1"/>
  <c r="N4" i="2"/>
  <c r="O4" i="2" s="1"/>
  <c r="P18" i="2"/>
  <c r="Q18" i="2" s="1"/>
  <c r="P6" i="2"/>
  <c r="Q6" i="2" s="1"/>
  <c r="R20" i="2"/>
  <c r="S20" i="2" s="1"/>
  <c r="R8" i="2"/>
  <c r="S8" i="2" s="1"/>
  <c r="E11" i="2"/>
  <c r="F11" i="2" s="1"/>
  <c r="N27" i="2"/>
  <c r="O27" i="2" s="1"/>
  <c r="N15" i="2"/>
  <c r="O15" i="2" s="1"/>
  <c r="P3" i="2"/>
  <c r="Q3" i="2" s="1"/>
  <c r="P17" i="2"/>
  <c r="Q17" i="2" s="1"/>
  <c r="P5" i="2"/>
  <c r="Q5" i="2" s="1"/>
  <c r="R19" i="2"/>
  <c r="S19" i="2" s="1"/>
  <c r="R7" i="2"/>
  <c r="S7" i="2" s="1"/>
  <c r="C9" i="2"/>
  <c r="D9" i="2" s="1"/>
  <c r="E10" i="2"/>
  <c r="F10" i="2" s="1"/>
  <c r="N14" i="2"/>
  <c r="O14" i="2" s="1"/>
  <c r="P16" i="2"/>
  <c r="Q16" i="2" s="1"/>
  <c r="P4" i="2"/>
  <c r="Q4" i="2" s="1"/>
  <c r="R18" i="2"/>
  <c r="S18" i="2" s="1"/>
  <c r="R6" i="2"/>
  <c r="S6" i="2" s="1"/>
  <c r="E22" i="2"/>
  <c r="F22" i="2" s="1"/>
  <c r="G23" i="2"/>
  <c r="H23" i="2" s="1"/>
  <c r="P15" i="2"/>
  <c r="Q15" i="2" s="1"/>
  <c r="R5" i="2"/>
  <c r="S5" i="2" s="1"/>
  <c r="E23" i="2"/>
  <c r="F23" i="2" s="1"/>
  <c r="G13" i="2"/>
  <c r="H13" i="2" s="1"/>
  <c r="C20" i="2"/>
  <c r="D20" i="2" s="1"/>
  <c r="C8" i="2"/>
  <c r="D8" i="2" s="1"/>
  <c r="G24" i="2"/>
  <c r="H24" i="2" s="1"/>
  <c r="N26" i="2"/>
  <c r="O26" i="2" s="1"/>
  <c r="P28" i="2"/>
  <c r="Q28" i="2" s="1"/>
  <c r="C19" i="2"/>
  <c r="D19" i="2" s="1"/>
  <c r="C7" i="2"/>
  <c r="D7" i="2" s="1"/>
  <c r="E21" i="2"/>
  <c r="F21" i="2" s="1"/>
  <c r="E9" i="2"/>
  <c r="F9" i="2" s="1"/>
  <c r="G11" i="2"/>
  <c r="H11" i="2" s="1"/>
  <c r="N25" i="2"/>
  <c r="O25" i="2" s="1"/>
  <c r="N13" i="2"/>
  <c r="O13" i="2" s="1"/>
  <c r="P27" i="2"/>
  <c r="Q27" i="2" s="1"/>
  <c r="R3" i="2"/>
  <c r="S3" i="2" s="1"/>
  <c r="R17" i="2"/>
  <c r="S17" i="2" s="1"/>
  <c r="C18" i="2"/>
  <c r="D18" i="2" s="1"/>
  <c r="C6" i="2"/>
  <c r="D6" i="2" s="1"/>
  <c r="E20" i="2"/>
  <c r="F20" i="2" s="1"/>
  <c r="E8" i="2"/>
  <c r="F8" i="2" s="1"/>
  <c r="G22" i="2"/>
  <c r="H22" i="2" s="1"/>
  <c r="G10" i="2"/>
  <c r="H10" i="2" s="1"/>
  <c r="N24" i="2"/>
  <c r="O24" i="2" s="1"/>
  <c r="N12" i="2"/>
  <c r="O12" i="2" s="1"/>
  <c r="P26" i="2"/>
  <c r="Q26" i="2" s="1"/>
  <c r="P14" i="2"/>
  <c r="R28" i="2"/>
  <c r="S28" i="2" s="1"/>
  <c r="R16" i="2"/>
  <c r="S16" i="2" s="1"/>
  <c r="R4" i="2"/>
  <c r="S4" i="2" s="1"/>
  <c r="G25" i="2"/>
  <c r="H25" i="2" s="1"/>
  <c r="G12" i="2"/>
  <c r="H12" i="2" s="1"/>
  <c r="C3" i="2"/>
  <c r="D3" i="2" s="1"/>
  <c r="C17" i="2"/>
  <c r="D17" i="2" s="1"/>
  <c r="C5" i="2"/>
  <c r="D5" i="2" s="1"/>
  <c r="E19" i="2"/>
  <c r="F19" i="2" s="1"/>
  <c r="E7" i="2"/>
  <c r="F7" i="2" s="1"/>
  <c r="G21" i="2"/>
  <c r="H21" i="2" s="1"/>
  <c r="G9" i="2"/>
  <c r="H9" i="2" s="1"/>
  <c r="N23" i="2"/>
  <c r="O23" i="2" s="1"/>
  <c r="N11" i="2"/>
  <c r="O11" i="2" s="1"/>
  <c r="P25" i="2"/>
  <c r="Q25" i="2" s="1"/>
  <c r="P13" i="2"/>
  <c r="Q13" i="2" s="1"/>
  <c r="R27" i="2"/>
  <c r="S27" i="2" s="1"/>
  <c r="R15" i="2"/>
  <c r="S15" i="2" s="1"/>
  <c r="D33" i="2"/>
  <c r="C4" i="2"/>
  <c r="D4" i="2" s="1"/>
  <c r="G8" i="2"/>
  <c r="H8" i="2" s="1"/>
  <c r="N22" i="2"/>
  <c r="O22" i="2" s="1"/>
  <c r="N10" i="2"/>
  <c r="P24" i="2"/>
  <c r="Q24" i="2" s="1"/>
  <c r="P12" i="2"/>
  <c r="Q12" i="2" s="1"/>
  <c r="R26" i="2"/>
  <c r="R14" i="2"/>
  <c r="S14" i="2" s="1"/>
  <c r="E33" i="2"/>
  <c r="E17" i="2"/>
  <c r="F17" i="2" s="1"/>
  <c r="N9" i="2"/>
  <c r="O9" i="2" s="1"/>
  <c r="P11" i="2"/>
  <c r="Q11" i="2" s="1"/>
  <c r="R25" i="2"/>
  <c r="S25" i="2" s="1"/>
  <c r="R13" i="2"/>
  <c r="S13" i="2" s="1"/>
  <c r="F33" i="2"/>
  <c r="E5" i="2"/>
  <c r="F5" i="2" s="1"/>
  <c r="E4" i="2"/>
  <c r="F4" i="2" s="1"/>
  <c r="P22" i="2"/>
  <c r="Q22" i="2" s="1"/>
  <c r="D38" i="2"/>
  <c r="D39" i="2" s="1"/>
  <c r="E18" i="2"/>
  <c r="F18" i="2" s="1"/>
  <c r="G20" i="2"/>
  <c r="H20" i="2" s="1"/>
  <c r="C15" i="2"/>
  <c r="D15" i="2" s="1"/>
  <c r="E3" i="2"/>
  <c r="F3" i="2" s="1"/>
  <c r="G19" i="2"/>
  <c r="H19" i="2" s="1"/>
  <c r="N21" i="2"/>
  <c r="O21" i="2" s="1"/>
  <c r="P23" i="2"/>
  <c r="Q23" i="2" s="1"/>
  <c r="C26" i="2"/>
  <c r="D26" i="2" s="1"/>
  <c r="C14" i="2"/>
  <c r="D14" i="2" s="1"/>
  <c r="E28" i="2"/>
  <c r="F28" i="2" s="1"/>
  <c r="E16" i="2"/>
  <c r="F16" i="2" s="1"/>
  <c r="G18" i="2"/>
  <c r="H18" i="2" s="1"/>
  <c r="G6" i="2"/>
  <c r="H6" i="2" s="1"/>
  <c r="N20" i="2"/>
  <c r="O20" i="2" s="1"/>
  <c r="N8" i="2"/>
  <c r="P10" i="2"/>
  <c r="Q10" i="2" s="1"/>
  <c r="R24" i="2"/>
  <c r="S24" i="2" s="1"/>
  <c r="R12" i="2"/>
  <c r="S12" i="2" s="1"/>
  <c r="C25" i="2"/>
  <c r="D25" i="2" s="1"/>
  <c r="C13" i="2"/>
  <c r="D13" i="2" s="1"/>
  <c r="E27" i="2"/>
  <c r="F27" i="2" s="1"/>
  <c r="E15" i="2"/>
  <c r="F15" i="2" s="1"/>
  <c r="G3" i="2"/>
  <c r="H3" i="2" s="1"/>
  <c r="G17" i="2"/>
  <c r="H17" i="2" s="1"/>
  <c r="G5" i="2"/>
  <c r="H5" i="2" s="1"/>
  <c r="N19" i="2"/>
  <c r="O19" i="2" s="1"/>
  <c r="N7" i="2"/>
  <c r="O7" i="2" s="1"/>
  <c r="P21" i="2"/>
  <c r="Q21" i="2" s="1"/>
  <c r="P9" i="2"/>
  <c r="Q9" i="2" s="1"/>
  <c r="R23" i="2"/>
  <c r="S23" i="2" s="1"/>
  <c r="R11" i="2"/>
  <c r="S11" i="2" s="1"/>
  <c r="E38" i="2"/>
  <c r="E39" i="2" s="1"/>
  <c r="E6" i="2"/>
  <c r="F6" i="2" s="1"/>
  <c r="G7" i="2"/>
  <c r="H7" i="2" s="1"/>
  <c r="C24" i="2"/>
  <c r="D24" i="2" s="1"/>
  <c r="C12" i="2"/>
  <c r="D12" i="2" s="1"/>
  <c r="E26" i="2"/>
  <c r="F26" i="2" s="1"/>
  <c r="E14" i="2"/>
  <c r="F14" i="2" s="1"/>
  <c r="G28" i="2"/>
  <c r="H28" i="2" s="1"/>
  <c r="G16" i="2"/>
  <c r="H16" i="2" s="1"/>
  <c r="G4" i="2"/>
  <c r="H4" i="2" s="1"/>
  <c r="N18" i="2"/>
  <c r="O18" i="2" s="1"/>
  <c r="N6" i="2"/>
  <c r="O6" i="2" s="1"/>
  <c r="P20" i="2"/>
  <c r="Q20" i="2" s="1"/>
  <c r="P8" i="2"/>
  <c r="Q8" i="2" s="1"/>
  <c r="R22" i="2"/>
  <c r="S22" i="2" s="1"/>
  <c r="R10" i="2"/>
  <c r="S10" i="2" s="1"/>
  <c r="G3" i="3"/>
  <c r="D21" i="2"/>
  <c r="Q19" i="2"/>
  <c r="D28" i="2"/>
  <c r="B9" i="1"/>
  <c r="C9" i="1"/>
  <c r="F16" i="1"/>
  <c r="G16" i="1"/>
  <c r="F18" i="1"/>
  <c r="G18" i="1"/>
  <c r="B11" i="1"/>
  <c r="L6" i="1"/>
  <c r="D9" i="1" s="1"/>
  <c r="B3" i="1"/>
  <c r="E29" i="5"/>
  <c r="L12" i="5"/>
  <c r="N23" i="5"/>
  <c r="M2" i="5"/>
  <c r="S11" i="5"/>
  <c r="B21" i="5"/>
  <c r="Y5" i="5"/>
  <c r="I3" i="5"/>
  <c r="W12" i="5"/>
  <c r="L6" i="5"/>
  <c r="L31" i="5"/>
  <c r="Q2" i="5"/>
  <c r="T4" i="5"/>
  <c r="H15" i="5"/>
  <c r="U21" i="5"/>
  <c r="Y26" i="5"/>
  <c r="J7" i="5"/>
  <c r="H17" i="5"/>
  <c r="O21" i="5"/>
  <c r="G15" i="5"/>
  <c r="X9" i="5"/>
  <c r="C24" i="5"/>
  <c r="K13" i="5"/>
  <c r="N14" i="5"/>
  <c r="Y15" i="5"/>
  <c r="G22" i="5"/>
  <c r="V27" i="5"/>
  <c r="U29" i="5"/>
  <c r="O16" i="5"/>
  <c r="U23" i="5"/>
  <c r="F12" i="5"/>
  <c r="D29" i="5"/>
  <c r="F28" i="5"/>
  <c r="T18" i="5"/>
  <c r="F6" i="5"/>
  <c r="K28" i="5"/>
  <c r="C5" i="5"/>
  <c r="V15" i="5"/>
  <c r="T6" i="5"/>
  <c r="T8" i="5"/>
  <c r="K11" i="5"/>
  <c r="V13" i="5"/>
  <c r="J9" i="5"/>
  <c r="N25" i="5"/>
  <c r="L30" i="5"/>
  <c r="T30" i="5"/>
  <c r="R8" i="5"/>
  <c r="P27" i="5"/>
  <c r="Y2" i="5"/>
  <c r="J4" i="5"/>
  <c r="B25" i="5"/>
  <c r="T15" i="5"/>
  <c r="P2" i="5"/>
  <c r="S18" i="5"/>
  <c r="D14" i="5"/>
  <c r="J12" i="5"/>
  <c r="T17" i="5"/>
  <c r="Y25" i="5"/>
  <c r="E26" i="5"/>
  <c r="J20" i="5"/>
  <c r="R5" i="5"/>
  <c r="P22" i="5"/>
  <c r="M27" i="5"/>
  <c r="W24" i="5"/>
  <c r="S24" i="5"/>
  <c r="E2" i="5"/>
  <c r="U15" i="5"/>
  <c r="M4" i="5"/>
  <c r="I29" i="5"/>
  <c r="S19" i="5"/>
  <c r="X6" i="5"/>
  <c r="P14" i="5"/>
  <c r="N15" i="5"/>
  <c r="L16" i="5"/>
  <c r="I17" i="5"/>
  <c r="K6" i="5"/>
  <c r="B26" i="5"/>
  <c r="S14" i="5"/>
  <c r="U4" i="5"/>
  <c r="L17" i="5"/>
  <c r="K5" i="5"/>
  <c r="B7" i="5"/>
  <c r="R17" i="5"/>
  <c r="H18" i="5"/>
  <c r="C20" i="5"/>
  <c r="E24" i="5"/>
  <c r="V30" i="5"/>
  <c r="B17" i="5"/>
  <c r="Q27" i="5"/>
  <c r="X25" i="5"/>
  <c r="V5" i="5"/>
  <c r="V6" i="5"/>
  <c r="G19" i="5"/>
  <c r="M24" i="5"/>
  <c r="O20" i="5"/>
  <c r="D11" i="5"/>
  <c r="E12" i="5"/>
  <c r="W13" i="5"/>
  <c r="I22" i="5"/>
  <c r="I30" i="5"/>
  <c r="M11" i="5"/>
  <c r="I27" i="5"/>
  <c r="B24" i="5"/>
  <c r="U10" i="5"/>
  <c r="I6" i="5"/>
  <c r="C25" i="5"/>
  <c r="B23" i="5"/>
  <c r="S15" i="5"/>
  <c r="O7" i="5"/>
  <c r="R20" i="5"/>
  <c r="Y28" i="5"/>
  <c r="M22" i="5"/>
  <c r="L5" i="5"/>
  <c r="Q5" i="5"/>
  <c r="R22" i="5"/>
  <c r="H11" i="5"/>
  <c r="S23" i="5"/>
  <c r="C3" i="5"/>
  <c r="C4" i="5"/>
  <c r="J17" i="5"/>
  <c r="H23" i="5"/>
  <c r="W2" i="5"/>
  <c r="O14" i="5"/>
  <c r="C9" i="5"/>
  <c r="N11" i="5"/>
  <c r="G7" i="5"/>
  <c r="J13" i="5"/>
  <c r="D28" i="5"/>
  <c r="B19" i="5"/>
  <c r="X24" i="5"/>
  <c r="U17" i="5"/>
  <c r="R29" i="5"/>
  <c r="X23" i="5"/>
  <c r="P16" i="5"/>
  <c r="N21" i="5"/>
  <c r="I31" i="5"/>
  <c r="O5" i="5"/>
  <c r="D24" i="5"/>
  <c r="J27" i="5"/>
  <c r="Q18" i="5"/>
  <c r="H22" i="5"/>
  <c r="O4" i="5"/>
  <c r="C7" i="5"/>
  <c r="E5" i="5"/>
  <c r="I28" i="5"/>
  <c r="X17" i="5"/>
  <c r="L4" i="5"/>
  <c r="N2" i="5"/>
  <c r="F15" i="5"/>
  <c r="W17" i="5"/>
  <c r="N10" i="5"/>
  <c r="F10" i="5"/>
  <c r="B8" i="5"/>
  <c r="I26" i="5"/>
  <c r="L3" i="5"/>
  <c r="F8" i="5"/>
  <c r="C8" i="5"/>
  <c r="J5" i="5"/>
  <c r="S2" i="5"/>
  <c r="J21" i="5"/>
  <c r="T11" i="5"/>
  <c r="T23" i="5"/>
  <c r="E27" i="5"/>
  <c r="X31" i="5"/>
  <c r="E13" i="5"/>
  <c r="Y7" i="5"/>
  <c r="B29" i="5"/>
  <c r="F29" i="5"/>
  <c r="F26" i="5"/>
  <c r="U7" i="5"/>
  <c r="N4" i="5"/>
  <c r="V2" i="5"/>
  <c r="J28" i="5"/>
  <c r="N7" i="5"/>
  <c r="F31" i="5"/>
  <c r="V3" i="5"/>
  <c r="K21" i="5"/>
  <c r="S12" i="5"/>
  <c r="V18" i="5"/>
  <c r="P12" i="5"/>
  <c r="H31" i="5"/>
  <c r="J22" i="5"/>
  <c r="G16" i="5"/>
  <c r="T7" i="5"/>
  <c r="N24" i="5"/>
  <c r="K27" i="5"/>
  <c r="B13" i="5"/>
  <c r="X13" i="5"/>
  <c r="J16" i="5"/>
  <c r="V7" i="5"/>
  <c r="S8" i="5"/>
  <c r="G26" i="5"/>
  <c r="K10" i="5"/>
  <c r="F13" i="5"/>
  <c r="N27" i="5"/>
  <c r="I23" i="5"/>
  <c r="T25" i="5"/>
  <c r="O29" i="5"/>
  <c r="W8" i="5"/>
  <c r="W20" i="5"/>
  <c r="C28" i="5"/>
  <c r="D27" i="5"/>
  <c r="T9" i="5"/>
  <c r="J10" i="5"/>
  <c r="D31" i="5"/>
  <c r="W6" i="5"/>
  <c r="O17" i="5"/>
  <c r="Q10" i="5"/>
  <c r="U14" i="5"/>
  <c r="F11" i="5"/>
  <c r="R18" i="5"/>
  <c r="W5" i="5"/>
  <c r="N6" i="5"/>
  <c r="P10" i="5"/>
  <c r="H30" i="5"/>
  <c r="M25" i="5"/>
  <c r="T31" i="5"/>
  <c r="L10" i="5"/>
  <c r="B4" i="5"/>
  <c r="N31" i="5"/>
  <c r="S7" i="5"/>
  <c r="T22" i="5"/>
  <c r="F21" i="5"/>
  <c r="G14" i="5"/>
  <c r="F18" i="5"/>
  <c r="J14" i="5"/>
  <c r="W31" i="5"/>
  <c r="R4" i="5"/>
  <c r="C2" i="5"/>
  <c r="U3" i="5"/>
  <c r="Y23" i="5"/>
  <c r="E30" i="5"/>
  <c r="Y3" i="5"/>
  <c r="S27" i="5"/>
  <c r="J23" i="5"/>
  <c r="R2" i="5"/>
  <c r="D23" i="5"/>
  <c r="R27" i="5"/>
  <c r="N17" i="5"/>
  <c r="P20" i="5"/>
  <c r="E7" i="5"/>
  <c r="W3" i="5"/>
  <c r="K7" i="5"/>
  <c r="V20" i="5"/>
  <c r="G31" i="5"/>
  <c r="Y27" i="5"/>
  <c r="W29" i="5"/>
  <c r="O10" i="5"/>
  <c r="G9" i="5"/>
  <c r="P11" i="5"/>
  <c r="K26" i="5"/>
  <c r="K15" i="5"/>
  <c r="H9" i="5"/>
  <c r="L19" i="5"/>
  <c r="H3" i="5"/>
  <c r="X21" i="5"/>
  <c r="X27" i="5"/>
  <c r="H16" i="5"/>
  <c r="U8" i="5"/>
  <c r="J11" i="5"/>
  <c r="J6" i="5"/>
  <c r="F25" i="5"/>
  <c r="U19" i="5"/>
  <c r="H10" i="5"/>
  <c r="V17" i="5"/>
  <c r="G10" i="5"/>
  <c r="O23" i="5"/>
  <c r="O27" i="5"/>
  <c r="C12" i="5"/>
  <c r="C15" i="5"/>
  <c r="Q4" i="5"/>
  <c r="F14" i="5"/>
  <c r="H29" i="5"/>
  <c r="X16" i="5"/>
  <c r="W26" i="5"/>
  <c r="D16" i="5"/>
  <c r="U22" i="5"/>
  <c r="K30" i="5"/>
  <c r="K3" i="5"/>
  <c r="F23" i="5"/>
  <c r="X28" i="5"/>
  <c r="J3" i="5"/>
  <c r="F20" i="5"/>
  <c r="Q9" i="5"/>
  <c r="O31" i="5"/>
  <c r="N18" i="5"/>
  <c r="U11" i="5"/>
  <c r="P30" i="5"/>
  <c r="P26" i="5"/>
  <c r="O25" i="5"/>
  <c r="B22" i="5"/>
  <c r="U28" i="5"/>
  <c r="Y31" i="5"/>
  <c r="C27" i="5"/>
  <c r="Y21" i="5"/>
  <c r="B5" i="5"/>
  <c r="V22" i="5"/>
  <c r="W27" i="5"/>
  <c r="I9" i="5"/>
  <c r="E25" i="5"/>
  <c r="S3" i="5"/>
  <c r="G24" i="5"/>
  <c r="I21" i="5"/>
  <c r="L18" i="5"/>
  <c r="I15" i="5"/>
  <c r="H28" i="5"/>
  <c r="X5" i="5"/>
  <c r="H19" i="5"/>
  <c r="I18" i="5"/>
  <c r="F16" i="5"/>
  <c r="I16" i="5"/>
  <c r="F22" i="5"/>
  <c r="W16" i="5"/>
  <c r="K25" i="5"/>
  <c r="C6" i="5"/>
  <c r="N29" i="5"/>
  <c r="E15" i="5"/>
  <c r="R11" i="5"/>
  <c r="J2" i="5"/>
  <c r="E28" i="5"/>
  <c r="K22" i="5"/>
  <c r="L25" i="5"/>
  <c r="F3" i="5"/>
  <c r="C21" i="5"/>
  <c r="C26" i="5"/>
  <c r="O9" i="5"/>
  <c r="I7" i="5"/>
  <c r="N5" i="5"/>
  <c r="D6" i="5"/>
  <c r="U12" i="5"/>
  <c r="D17" i="5"/>
  <c r="B9" i="5"/>
  <c r="U16" i="5"/>
  <c r="W9" i="5"/>
  <c r="U25" i="5"/>
  <c r="M21" i="5"/>
  <c r="P21" i="5"/>
  <c r="C30" i="5"/>
  <c r="E3" i="5"/>
  <c r="R7" i="5"/>
  <c r="X4" i="5"/>
  <c r="U27" i="5"/>
  <c r="R28" i="5"/>
  <c r="L11" i="5"/>
  <c r="T20" i="5"/>
  <c r="K16" i="5"/>
  <c r="O19" i="5"/>
  <c r="D4" i="5"/>
  <c r="Q11" i="5"/>
  <c r="C11" i="5"/>
  <c r="W10" i="5"/>
  <c r="M19" i="5"/>
  <c r="Q21" i="5"/>
  <c r="N19" i="5"/>
  <c r="R12" i="5"/>
  <c r="V28" i="5"/>
  <c r="D26" i="5"/>
  <c r="S31" i="5"/>
  <c r="I2" i="5"/>
  <c r="K19" i="5"/>
  <c r="T3" i="5"/>
  <c r="T21" i="5"/>
  <c r="G8" i="5"/>
  <c r="Q22" i="5"/>
  <c r="V8" i="5"/>
  <c r="Q31" i="5"/>
  <c r="S26" i="5"/>
  <c r="I4" i="5"/>
  <c r="J25" i="5"/>
  <c r="C22" i="5"/>
  <c r="L26" i="5"/>
  <c r="Y18" i="5"/>
  <c r="U31" i="5"/>
  <c r="H24" i="5"/>
  <c r="X11" i="5"/>
  <c r="B18" i="5"/>
  <c r="C18" i="5"/>
  <c r="U2" i="5"/>
  <c r="Y12" i="5"/>
  <c r="Q12" i="5"/>
  <c r="U9" i="5"/>
  <c r="W11" i="5"/>
  <c r="M3" i="5"/>
  <c r="H4" i="5"/>
  <c r="V26" i="5"/>
  <c r="O24" i="5"/>
  <c r="M20" i="5"/>
  <c r="M23" i="5"/>
  <c r="E21" i="5"/>
  <c r="V21" i="5"/>
  <c r="G25" i="5"/>
  <c r="C17" i="5"/>
  <c r="Y9" i="5"/>
  <c r="R31" i="5"/>
  <c r="K9" i="5"/>
  <c r="E16" i="5"/>
  <c r="J8" i="5"/>
  <c r="Y8" i="5"/>
  <c r="F2" i="5"/>
  <c r="H27" i="5"/>
  <c r="B6" i="5"/>
  <c r="W19" i="5"/>
  <c r="I14" i="5"/>
  <c r="T5" i="5"/>
  <c r="H7" i="5"/>
  <c r="G2" i="5"/>
  <c r="D25" i="5"/>
  <c r="V14" i="5"/>
  <c r="X2" i="5"/>
  <c r="L24" i="5"/>
  <c r="T10" i="5"/>
  <c r="K31" i="5"/>
  <c r="D7" i="5"/>
  <c r="G17" i="5"/>
  <c r="Y22" i="5"/>
  <c r="D20" i="5"/>
  <c r="Y19" i="5"/>
  <c r="S30" i="5"/>
  <c r="Q17" i="5"/>
  <c r="V10" i="5"/>
  <c r="X19" i="5"/>
  <c r="K17" i="5"/>
  <c r="N8" i="5"/>
  <c r="M16" i="5"/>
  <c r="Q3" i="5"/>
  <c r="O15" i="5"/>
  <c r="L14" i="5"/>
  <c r="F17" i="5"/>
  <c r="B2" i="5"/>
  <c r="M15" i="5"/>
  <c r="W15" i="5"/>
  <c r="Y20" i="5"/>
  <c r="D21" i="5"/>
  <c r="P8" i="5"/>
  <c r="E11" i="5"/>
  <c r="P24" i="5"/>
  <c r="H12" i="5"/>
  <c r="B10" i="5"/>
  <c r="W14" i="5"/>
  <c r="F5" i="5"/>
  <c r="M17" i="5"/>
  <c r="V4" i="5"/>
  <c r="Q6" i="5"/>
  <c r="M18" i="5"/>
  <c r="I11" i="5"/>
  <c r="M28" i="5"/>
  <c r="L22" i="5"/>
  <c r="J24" i="5"/>
  <c r="X22" i="5"/>
  <c r="L15" i="5"/>
  <c r="X20" i="5"/>
  <c r="R25" i="5"/>
  <c r="T28" i="5"/>
  <c r="G6" i="5"/>
  <c r="G27" i="5"/>
  <c r="D22" i="5"/>
  <c r="I24" i="5"/>
  <c r="D18" i="5"/>
  <c r="Q14" i="5"/>
  <c r="Y16" i="5"/>
  <c r="G13" i="5"/>
  <c r="T27" i="5"/>
  <c r="D13" i="5"/>
  <c r="H6" i="5"/>
  <c r="Q26" i="5"/>
  <c r="R6" i="5"/>
  <c r="B3" i="5"/>
  <c r="I19" i="5"/>
  <c r="M26" i="5"/>
  <c r="M29" i="5"/>
  <c r="N30" i="5"/>
  <c r="G12" i="5"/>
  <c r="P9" i="5"/>
  <c r="L27" i="5"/>
  <c r="M7" i="5"/>
  <c r="L8" i="5"/>
  <c r="J31" i="5"/>
  <c r="F7" i="5"/>
  <c r="V23" i="5"/>
  <c r="Y11" i="5"/>
  <c r="T13" i="5"/>
  <c r="V31" i="5"/>
  <c r="E10" i="5"/>
  <c r="L20" i="5"/>
  <c r="H13" i="5"/>
  <c r="C10" i="5"/>
  <c r="R24" i="5"/>
  <c r="Y30" i="5"/>
  <c r="S6" i="5"/>
  <c r="C31" i="5"/>
  <c r="X3" i="5"/>
  <c r="R10" i="5"/>
  <c r="W4" i="5"/>
  <c r="G5" i="5"/>
  <c r="X18" i="5"/>
  <c r="Q7" i="5"/>
  <c r="F27" i="5"/>
  <c r="Y13" i="5"/>
  <c r="U5" i="5"/>
  <c r="M31" i="5"/>
  <c r="D15" i="5"/>
  <c r="Y14" i="5"/>
  <c r="O8" i="5"/>
  <c r="P31" i="5"/>
  <c r="O2" i="5"/>
  <c r="P6" i="5"/>
  <c r="S5" i="5"/>
  <c r="S17" i="5"/>
  <c r="K4" i="5"/>
  <c r="U20" i="5"/>
  <c r="K8" i="5"/>
  <c r="E23" i="5"/>
  <c r="W7" i="5"/>
  <c r="C19" i="5"/>
  <c r="I12" i="5"/>
  <c r="X26" i="5"/>
  <c r="P25" i="5"/>
  <c r="X10" i="5"/>
  <c r="K20" i="5"/>
  <c r="R19" i="5"/>
  <c r="C29" i="5"/>
  <c r="D30" i="5"/>
  <c r="S4" i="5"/>
  <c r="E20" i="5"/>
  <c r="Q24" i="5"/>
  <c r="X14" i="5"/>
  <c r="E14" i="5"/>
  <c r="N9" i="5"/>
  <c r="G28" i="5"/>
  <c r="S10" i="5"/>
  <c r="G20" i="5"/>
  <c r="V24" i="5"/>
  <c r="H26" i="5"/>
  <c r="E4" i="5"/>
  <c r="K29" i="5"/>
  <c r="V29" i="5"/>
  <c r="S21" i="5"/>
  <c r="V11" i="5"/>
  <c r="C23" i="5"/>
  <c r="P17" i="5"/>
  <c r="E18" i="5"/>
  <c r="E19" i="5"/>
  <c r="M9" i="5"/>
  <c r="Y29" i="5"/>
  <c r="V19" i="5"/>
  <c r="U6" i="5"/>
  <c r="C16" i="5"/>
  <c r="L7" i="5"/>
  <c r="D2" i="5"/>
  <c r="O3" i="5"/>
  <c r="M14" i="5"/>
  <c r="D19" i="5"/>
  <c r="X30" i="5"/>
  <c r="G4" i="5"/>
  <c r="Y24" i="5"/>
  <c r="N28" i="5"/>
  <c r="P18" i="5"/>
  <c r="S25" i="5"/>
  <c r="R3" i="5"/>
  <c r="S22" i="5"/>
  <c r="T26" i="5"/>
  <c r="X7" i="5"/>
  <c r="G11" i="5"/>
  <c r="J18" i="5"/>
  <c r="J29" i="5"/>
  <c r="V25" i="5"/>
  <c r="I8" i="5"/>
  <c r="N16" i="5"/>
  <c r="E8" i="5"/>
  <c r="M10" i="5"/>
  <c r="S29" i="5"/>
  <c r="B14" i="5"/>
  <c r="L21" i="5"/>
  <c r="P28" i="5"/>
  <c r="R30" i="5"/>
  <c r="K24" i="5"/>
  <c r="U13" i="5"/>
  <c r="B12" i="5"/>
  <c r="F24" i="5"/>
  <c r="V12" i="5"/>
  <c r="X8" i="5"/>
  <c r="U18" i="5"/>
  <c r="N3" i="5"/>
  <c r="W25" i="5"/>
  <c r="U30" i="5"/>
  <c r="M30" i="5"/>
  <c r="G21" i="5"/>
  <c r="Q23" i="5"/>
  <c r="B27" i="5"/>
  <c r="O22" i="5"/>
  <c r="H21" i="5"/>
  <c r="E9" i="5"/>
  <c r="N20" i="5"/>
  <c r="P3" i="5"/>
  <c r="E31" i="5"/>
  <c r="V9" i="5"/>
  <c r="Y17" i="5"/>
  <c r="J30" i="5"/>
  <c r="U24" i="5"/>
  <c r="W28" i="5"/>
  <c r="O28" i="5"/>
  <c r="K18" i="5"/>
  <c r="S28" i="5"/>
  <c r="Q30" i="5"/>
  <c r="E17" i="5"/>
  <c r="Y10" i="5"/>
  <c r="H20" i="5"/>
  <c r="S9" i="5"/>
  <c r="B16" i="5"/>
  <c r="E6" i="5"/>
  <c r="S13" i="5"/>
  <c r="Q15" i="5"/>
  <c r="Q19" i="5"/>
  <c r="X12" i="5"/>
  <c r="C13" i="5"/>
  <c r="R9" i="5"/>
  <c r="L28" i="5"/>
  <c r="D9" i="5"/>
  <c r="H14" i="5"/>
  <c r="H5" i="5"/>
  <c r="U26" i="5"/>
  <c r="W23" i="5"/>
  <c r="B30" i="5"/>
  <c r="P19" i="5"/>
  <c r="T14" i="5"/>
  <c r="Q16" i="5"/>
  <c r="Q25" i="5"/>
  <c r="G30" i="5"/>
  <c r="L2" i="5"/>
  <c r="N13" i="5"/>
  <c r="D3" i="5"/>
  <c r="O6" i="5"/>
  <c r="S16" i="5"/>
  <c r="Q8" i="5"/>
  <c r="I20" i="5"/>
  <c r="G18" i="5"/>
  <c r="D8" i="5"/>
  <c r="M5" i="5"/>
  <c r="R23" i="5"/>
  <c r="P29" i="5"/>
  <c r="T12" i="5"/>
  <c r="H25" i="5"/>
  <c r="O26" i="5"/>
  <c r="M8" i="5"/>
  <c r="Q13" i="5"/>
  <c r="B20" i="5"/>
  <c r="R14" i="5"/>
  <c r="N12" i="5"/>
  <c r="G3" i="5"/>
  <c r="Y4" i="5"/>
  <c r="K14" i="5"/>
  <c r="N26" i="5"/>
  <c r="C14" i="5"/>
  <c r="K12" i="5"/>
  <c r="L23" i="5"/>
  <c r="K23" i="5"/>
  <c r="P5" i="5"/>
  <c r="D12" i="5"/>
  <c r="J26" i="5"/>
  <c r="I10" i="5"/>
  <c r="B15" i="5"/>
  <c r="J19" i="5"/>
  <c r="Q29" i="5"/>
  <c r="T29" i="5"/>
  <c r="R21" i="5"/>
  <c r="F4" i="5"/>
  <c r="B11" i="5"/>
  <c r="G23" i="5"/>
  <c r="I25" i="5"/>
  <c r="F30" i="5"/>
  <c r="X29" i="5"/>
  <c r="P4" i="5"/>
  <c r="T24" i="5"/>
  <c r="P23" i="5"/>
  <c r="N22" i="5"/>
  <c r="D10" i="5"/>
  <c r="O11" i="5"/>
  <c r="R26" i="5"/>
  <c r="B28" i="5"/>
  <c r="F19" i="5"/>
  <c r="O18" i="5"/>
  <c r="K2" i="5"/>
  <c r="L13" i="5"/>
  <c r="L29" i="5"/>
  <c r="H8" i="5"/>
  <c r="O13" i="5"/>
  <c r="I5" i="5"/>
  <c r="T19" i="5"/>
  <c r="T2" i="5"/>
  <c r="M12" i="5"/>
  <c r="S20" i="5"/>
  <c r="I13" i="5"/>
  <c r="Q20" i="5"/>
  <c r="L9" i="5"/>
  <c r="W18" i="5"/>
  <c r="O30" i="5"/>
  <c r="M13" i="5"/>
  <c r="M6" i="5"/>
  <c r="F9" i="5"/>
  <c r="R15" i="5"/>
  <c r="P15" i="5"/>
  <c r="E22" i="5"/>
  <c r="D5" i="5"/>
  <c r="W21" i="5"/>
  <c r="R16" i="5"/>
  <c r="X15" i="5"/>
  <c r="W30" i="5"/>
  <c r="P13" i="5"/>
  <c r="B31" i="5"/>
  <c r="O12" i="5"/>
  <c r="J15" i="5"/>
  <c r="Y6" i="5"/>
  <c r="P7" i="5"/>
  <c r="Q28" i="5"/>
  <c r="R13" i="5"/>
  <c r="V16" i="5"/>
  <c r="G29" i="5"/>
  <c r="H2" i="5"/>
  <c r="W22" i="5"/>
  <c r="T26" i="2" l="1"/>
  <c r="W28" i="2"/>
  <c r="U14" i="2"/>
  <c r="V14" i="2"/>
  <c r="W16" i="2"/>
  <c r="W23" i="2"/>
  <c r="S26" i="2"/>
  <c r="U26" i="2" s="1"/>
  <c r="V16" i="2"/>
  <c r="W26" i="2"/>
  <c r="W6" i="2"/>
  <c r="T8" i="2"/>
  <c r="W24" i="2"/>
  <c r="W11" i="2"/>
  <c r="W21" i="2"/>
  <c r="U21" i="2"/>
  <c r="W17" i="2"/>
  <c r="W4" i="2"/>
  <c r="V11" i="2"/>
  <c r="L10" i="2"/>
  <c r="L27" i="2"/>
  <c r="L15" i="2"/>
  <c r="L9" i="2"/>
  <c r="L8" i="2"/>
  <c r="L6" i="2"/>
  <c r="W19" i="2"/>
  <c r="W5" i="2"/>
  <c r="W27" i="2"/>
  <c r="W15" i="2"/>
  <c r="W9" i="2"/>
  <c r="L13" i="2"/>
  <c r="U16" i="2"/>
  <c r="L19" i="2"/>
  <c r="U28" i="2"/>
  <c r="W22" i="2"/>
  <c r="L7" i="2"/>
  <c r="L5" i="2"/>
  <c r="U18" i="2"/>
  <c r="W18" i="2"/>
  <c r="W3" i="2"/>
  <c r="U3" i="2"/>
  <c r="U7" i="2"/>
  <c r="W7" i="2"/>
  <c r="U13" i="2"/>
  <c r="W13" i="2"/>
  <c r="U25" i="2"/>
  <c r="W25" i="2"/>
  <c r="U11" i="2"/>
  <c r="U20" i="2"/>
  <c r="W20" i="2"/>
  <c r="U12" i="2"/>
  <c r="W12" i="2"/>
  <c r="L26" i="2"/>
  <c r="L25" i="2"/>
  <c r="L23" i="2"/>
  <c r="L22" i="2"/>
  <c r="L21" i="2"/>
  <c r="L17" i="2"/>
  <c r="L14" i="2"/>
  <c r="L3" i="2"/>
  <c r="L28" i="2"/>
  <c r="L24" i="2"/>
  <c r="L20" i="2"/>
  <c r="L18" i="2"/>
  <c r="L16" i="2"/>
  <c r="L12" i="2"/>
  <c r="L11" i="2"/>
  <c r="L4" i="2"/>
  <c r="J3" i="2"/>
  <c r="V18" i="2"/>
  <c r="U27" i="2"/>
  <c r="U23" i="2"/>
  <c r="V9" i="2"/>
  <c r="U24" i="2"/>
  <c r="T25" i="2"/>
  <c r="T15" i="2"/>
  <c r="U17" i="2"/>
  <c r="T7" i="2"/>
  <c r="V23" i="2"/>
  <c r="T19" i="2"/>
  <c r="T18" i="2"/>
  <c r="O8" i="2"/>
  <c r="V5" i="2"/>
  <c r="V3" i="2"/>
  <c r="U6" i="2"/>
  <c r="T3" i="2"/>
  <c r="U5" i="2"/>
  <c r="U4" i="2"/>
  <c r="V28" i="2"/>
  <c r="T21" i="2"/>
  <c r="T17" i="2"/>
  <c r="V15" i="2"/>
  <c r="T11" i="2"/>
  <c r="T20" i="2"/>
  <c r="V22" i="2"/>
  <c r="T16" i="2"/>
  <c r="T4" i="2"/>
  <c r="V25" i="2"/>
  <c r="V21" i="2"/>
  <c r="V10" i="2"/>
  <c r="V4" i="2"/>
  <c r="V6" i="2"/>
  <c r="T28" i="2"/>
  <c r="V27" i="2"/>
  <c r="T14" i="2"/>
  <c r="T10" i="2"/>
  <c r="T5" i="2"/>
  <c r="V19" i="2"/>
  <c r="V20" i="2"/>
  <c r="U9" i="2"/>
  <c r="T6" i="2"/>
  <c r="U15" i="2"/>
  <c r="T27" i="2"/>
  <c r="V12" i="2"/>
  <c r="T24" i="2"/>
  <c r="T23" i="2"/>
  <c r="V13" i="2"/>
  <c r="T9" i="2"/>
  <c r="V8" i="2"/>
  <c r="Q14" i="2"/>
  <c r="W14" i="2" s="1"/>
  <c r="V7" i="2"/>
  <c r="V26" i="2"/>
  <c r="V17" i="2"/>
  <c r="T13" i="2"/>
  <c r="U22" i="2"/>
  <c r="V24" i="2"/>
  <c r="T22" i="2"/>
  <c r="T12" i="2"/>
  <c r="O10" i="2"/>
  <c r="W10" i="2" s="1"/>
  <c r="U19" i="2"/>
  <c r="J15" i="2"/>
  <c r="J17" i="2"/>
  <c r="J27" i="2"/>
  <c r="J12" i="2"/>
  <c r="J25" i="2"/>
  <c r="J6" i="2"/>
  <c r="J4" i="2"/>
  <c r="J28" i="2"/>
  <c r="J26" i="2"/>
  <c r="J11" i="2"/>
  <c r="J24" i="2"/>
  <c r="J21" i="2"/>
  <c r="J16" i="2"/>
  <c r="J13" i="2"/>
  <c r="J8" i="2"/>
  <c r="J23" i="2"/>
  <c r="J22" i="2"/>
  <c r="J20" i="2"/>
  <c r="J19" i="2"/>
  <c r="J18" i="2"/>
  <c r="J14" i="2"/>
  <c r="J10" i="2"/>
  <c r="J9" i="2"/>
  <c r="J7" i="2"/>
  <c r="J5" i="2"/>
  <c r="I3" i="2"/>
  <c r="K19" i="2"/>
  <c r="I19" i="2"/>
  <c r="K23" i="2"/>
  <c r="K6" i="2"/>
  <c r="I4" i="2"/>
  <c r="K11" i="2"/>
  <c r="K5" i="2"/>
  <c r="K27" i="2"/>
  <c r="I25" i="2"/>
  <c r="K25" i="2"/>
  <c r="K24" i="2"/>
  <c r="K14" i="2"/>
  <c r="K7" i="2"/>
  <c r="K3" i="2"/>
  <c r="K9" i="2"/>
  <c r="K28" i="2"/>
  <c r="K26" i="2"/>
  <c r="K22" i="2"/>
  <c r="K21" i="2"/>
  <c r="K20" i="2"/>
  <c r="K18" i="2"/>
  <c r="K17" i="2"/>
  <c r="K16" i="2"/>
  <c r="K15" i="2"/>
  <c r="K13" i="2"/>
  <c r="K12" i="2"/>
  <c r="K10" i="2"/>
  <c r="K8" i="2"/>
  <c r="K4" i="2"/>
  <c r="I21" i="2"/>
  <c r="I15" i="2"/>
  <c r="I28" i="2"/>
  <c r="I27" i="2"/>
  <c r="I26" i="2"/>
  <c r="I23" i="2"/>
  <c r="I22" i="2"/>
  <c r="I14" i="2"/>
  <c r="I13" i="2"/>
  <c r="I12" i="2"/>
  <c r="I11" i="2"/>
  <c r="I10" i="2"/>
  <c r="I9" i="2"/>
  <c r="I8" i="2"/>
  <c r="I16" i="2"/>
  <c r="I6" i="2"/>
  <c r="I20" i="2"/>
  <c r="I7" i="2"/>
  <c r="I17" i="2"/>
  <c r="I18" i="2"/>
  <c r="I24" i="2"/>
  <c r="I5" i="2"/>
  <c r="F17" i="1"/>
  <c r="G17" i="1"/>
  <c r="B4" i="1"/>
  <c r="C2" i="1" s="1"/>
  <c r="U8" i="2" l="1"/>
  <c r="W8" i="2"/>
  <c r="U10" i="2"/>
  <c r="C3" i="1"/>
  <c r="C1" i="1"/>
</calcChain>
</file>

<file path=xl/sharedStrings.xml><?xml version="1.0" encoding="utf-8"?>
<sst xmlns="http://schemas.openxmlformats.org/spreadsheetml/2006/main" count="362" uniqueCount="119">
  <si>
    <t>paramètres vélo</t>
  </si>
  <si>
    <t>Aeroad CF SLX</t>
  </si>
  <si>
    <t>Ultimate CF SLX</t>
  </si>
  <si>
    <t>poids</t>
  </si>
  <si>
    <t>puissance nécessaire</t>
  </si>
  <si>
    <t>perte rendement</t>
  </si>
  <si>
    <t>vitesse (km/h)</t>
  </si>
  <si>
    <t>constante g (m/s²)</t>
  </si>
  <si>
    <t>pourcentage pente</t>
  </si>
  <si>
    <t>coeff résis roulement</t>
  </si>
  <si>
    <t>coeff trainé</t>
  </si>
  <si>
    <t>R constante gaz parfait</t>
  </si>
  <si>
    <t>température (C°)</t>
  </si>
  <si>
    <t>CdA</t>
  </si>
  <si>
    <t>aire frontale (m²)</t>
  </si>
  <si>
    <t>Aerobars</t>
  </si>
  <si>
    <t>vitesse vent (m/s)</t>
  </si>
  <si>
    <t>vitesse vent (km/h)</t>
  </si>
  <si>
    <t>rho air</t>
  </si>
  <si>
    <t>altitude (m)</t>
  </si>
  <si>
    <t>Rose Six</t>
  </si>
  <si>
    <t>CdA exemple</t>
  </si>
  <si>
    <t>puissance (W) selon
paramètres</t>
  </si>
  <si>
    <t>pas pris 
en compte</t>
  </si>
  <si>
    <t>vitesse (m/s)</t>
  </si>
  <si>
    <t>gain temps (min)</t>
  </si>
  <si>
    <t>watt/kg</t>
  </si>
  <si>
    <t>cycliste 1</t>
  </si>
  <si>
    <t>cycliste 2</t>
  </si>
  <si>
    <t>Aeroad</t>
  </si>
  <si>
    <t>Rose</t>
  </si>
  <si>
    <t>Ultimate</t>
  </si>
  <si>
    <t>distance segment (km)</t>
  </si>
  <si>
    <t>force gravité</t>
  </si>
  <si>
    <t>force roulement</t>
  </si>
  <si>
    <t>force aéro</t>
  </si>
  <si>
    <t>aero à 45km/h(W)</t>
  </si>
  <si>
    <t>gain aéro à vitesse demandée (W)</t>
  </si>
  <si>
    <t>taille de cadre</t>
  </si>
  <si>
    <t>XS</t>
  </si>
  <si>
    <t>M</t>
  </si>
  <si>
    <t>pénalité position(W)</t>
  </si>
  <si>
    <t>pente</t>
  </si>
  <si>
    <t>densité air niv. mer(kg/m²)</t>
  </si>
  <si>
    <t>masse molaire air (kg/mol)</t>
  </si>
  <si>
    <t>vitesse</t>
  </si>
  <si>
    <t>puissance cible</t>
  </si>
  <si>
    <t>CdA (coeff trainée x aire frontale)</t>
  </si>
  <si>
    <t>5W/taille cadre</t>
  </si>
  <si>
    <t>à titre indicatif</t>
  </si>
  <si>
    <t>manuel</t>
  </si>
  <si>
    <t>Rose W/kg</t>
  </si>
  <si>
    <t>Aeroad W/kg</t>
  </si>
  <si>
    <t>différence Rose 
W/kg</t>
  </si>
  <si>
    <t>différence Ultimate
W/kg</t>
  </si>
  <si>
    <t>masse cycliste 2 (kg) - ROSE</t>
  </si>
  <si>
    <t>masse cycliste (kg) - CANYON</t>
  </si>
  <si>
    <t>gain taille cadre aero (W)</t>
  </si>
  <si>
    <t xml:space="preserve">différence Ultimate
</t>
  </si>
  <si>
    <t xml:space="preserve">différence Rose
</t>
  </si>
  <si>
    <t>Ultimate W/kg</t>
  </si>
  <si>
    <t>puissance- pente</t>
  </si>
  <si>
    <t>vélo</t>
  </si>
  <si>
    <t>pente - seulement Tab vitesse</t>
  </si>
  <si>
    <t>distance (km)</t>
  </si>
  <si>
    <t>puissance (W)</t>
  </si>
  <si>
    <t>gain vitesse / aeroad</t>
  </si>
  <si>
    <t>vitesse
(km/h)</t>
  </si>
  <si>
    <t>vitesse 
(km/h)</t>
  </si>
  <si>
    <t>altitude (m) - influence densité air</t>
  </si>
  <si>
    <t>puissance en W/kg identique</t>
  </si>
  <si>
    <t>puissance brute identique</t>
  </si>
  <si>
    <t>puissance (W/kg)</t>
  </si>
  <si>
    <t>Profil vélo</t>
  </si>
  <si>
    <t>Profil cycliste</t>
  </si>
  <si>
    <t>masse cycliste 1 (kg) - CANYON</t>
  </si>
  <si>
    <t>Paramètres environmentaux</t>
  </si>
  <si>
    <t>Constantes</t>
  </si>
  <si>
    <t>température (K°)</t>
  </si>
  <si>
    <t>Info</t>
  </si>
  <si>
    <t>rho air (kg/m^3)</t>
  </si>
  <si>
    <t>densité air niv. mer(kg/m^3)</t>
  </si>
  <si>
    <t>puissance aeroad</t>
  </si>
  <si>
    <t>puissance rose</t>
  </si>
  <si>
    <t>puissance ultimate</t>
  </si>
  <si>
    <t>vitesse selon pente</t>
  </si>
  <si>
    <t>écart Rose</t>
  </si>
  <si>
    <t>écart Ultimate</t>
  </si>
  <si>
    <t>positive vent de face ; négatif vent de dos</t>
  </si>
  <si>
    <t>Barres</t>
  </si>
  <si>
    <t>Cocottes</t>
  </si>
  <si>
    <t>Ceintre</t>
  </si>
  <si>
    <t>poids vélo et matériel</t>
  </si>
  <si>
    <t>gain taille cadre aero 45km/h (W)</t>
  </si>
  <si>
    <t>poids matériel</t>
  </si>
  <si>
    <t>Vélo</t>
  </si>
  <si>
    <t>pente - 
vitesse (km/h)</t>
  </si>
  <si>
    <t>distance vert. à gravir (m)</t>
  </si>
  <si>
    <t>longueur côte (km)</t>
  </si>
  <si>
    <t>temps montée Aeroad (h)</t>
  </si>
  <si>
    <t>temps montée Rose (h)</t>
  </si>
  <si>
    <t>temps montée Ultimate (h)</t>
  </si>
  <si>
    <t>cadence (tr/min)</t>
  </si>
  <si>
    <t>cassette max (T)</t>
  </si>
  <si>
    <t>plateau min (T)</t>
  </si>
  <si>
    <t>longueur manivelle (mm)</t>
  </si>
  <si>
    <t>force sur pédale (N)</t>
  </si>
  <si>
    <t>cassette min (T)</t>
  </si>
  <si>
    <t>plateau max (T)</t>
  </si>
  <si>
    <t>vitesse limite basse cadence (km/h)</t>
  </si>
  <si>
    <t>vitesse limite haute cadence (km/h)</t>
  </si>
  <si>
    <t>poids matériel (kg)</t>
  </si>
  <si>
    <t>différence Tps Rose - Aeroad</t>
  </si>
  <si>
    <t>différence Tps Ultimate - Aeroad</t>
  </si>
  <si>
    <t>différence Vitesse Rose - Aeroad</t>
  </si>
  <si>
    <t>différence Vitesse Ultimate - Aeroad</t>
  </si>
  <si>
    <t>différence Vitesse Ultimate - Rose</t>
  </si>
  <si>
    <t>gain vitesse (km/h)</t>
  </si>
  <si>
    <t>puissance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</si>
</sst>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%"/>
    <numFmt numFmtId="166" formatCode="0.0000"/>
    <numFmt numFmtId="167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8B3F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0">
    <xf numFmtId="0" fontId="0" fillId="0" borderId="0" xfId="0"/>
    <xf numFmtId="164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0" borderId="7" xfId="0" applyBorder="1" applyAlignment="1">
      <alignment wrapText="1"/>
    </xf>
    <xf numFmtId="9" fontId="0" fillId="0" borderId="8" xfId="1" applyFont="1" applyBorder="1"/>
    <xf numFmtId="11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2" borderId="8" xfId="0" applyFill="1" applyBorder="1"/>
    <xf numFmtId="165" fontId="0" fillId="2" borderId="0" xfId="1" applyNumberFormat="1" applyFont="1" applyFill="1" applyBorder="1"/>
    <xf numFmtId="0" fontId="2" fillId="0" borderId="0" xfId="0" applyFont="1"/>
    <xf numFmtId="0" fontId="2" fillId="0" borderId="3" xfId="0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wrapText="1"/>
    </xf>
    <xf numFmtId="2" fontId="2" fillId="0" borderId="0" xfId="0" applyNumberFormat="1" applyFont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3" fillId="0" borderId="0" xfId="0" applyNumberFormat="1" applyFont="1"/>
    <xf numFmtId="2" fontId="0" fillId="0" borderId="0" xfId="0" applyNumberFormat="1"/>
    <xf numFmtId="2" fontId="0" fillId="0" borderId="8" xfId="0" applyNumberFormat="1" applyBorder="1"/>
    <xf numFmtId="0" fontId="2" fillId="0" borderId="4" xfId="0" applyFont="1" applyBorder="1" applyAlignment="1">
      <alignment horizontal="left" vertical="top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" fontId="0" fillId="0" borderId="8" xfId="0" applyNumberFormat="1" applyBorder="1" applyAlignment="1">
      <alignment horizontal="right"/>
    </xf>
    <xf numFmtId="0" fontId="4" fillId="0" borderId="5" xfId="0" applyFont="1" applyBorder="1"/>
    <xf numFmtId="2" fontId="0" fillId="0" borderId="5" xfId="0" applyNumberFormat="1" applyBorder="1"/>
    <xf numFmtId="2" fontId="0" fillId="0" borderId="6" xfId="0" applyNumberFormat="1" applyBorder="1"/>
    <xf numFmtId="0" fontId="2" fillId="4" borderId="8" xfId="0" applyFont="1" applyFill="1" applyBorder="1"/>
    <xf numFmtId="0" fontId="5" fillId="0" borderId="0" xfId="0" applyFont="1" applyAlignment="1">
      <alignment horizontal="center"/>
    </xf>
    <xf numFmtId="0" fontId="0" fillId="0" borderId="3" xfId="0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4" fillId="0" borderId="11" xfId="0" applyFont="1" applyBorder="1"/>
    <xf numFmtId="2" fontId="0" fillId="0" borderId="11" xfId="0" applyNumberFormat="1" applyBorder="1" applyAlignment="1">
      <alignment horizontal="right"/>
    </xf>
    <xf numFmtId="0" fontId="0" fillId="0" borderId="12" xfId="0" applyBorder="1"/>
    <xf numFmtId="0" fontId="4" fillId="0" borderId="13" xfId="0" applyFont="1" applyBorder="1"/>
    <xf numFmtId="165" fontId="0" fillId="0" borderId="0" xfId="1" applyNumberFormat="1" applyFont="1" applyFill="1" applyBorder="1"/>
    <xf numFmtId="0" fontId="0" fillId="0" borderId="0" xfId="0" applyAlignment="1">
      <alignment horizontal="center" vertical="center" wrapText="1"/>
    </xf>
    <xf numFmtId="167" fontId="0" fillId="10" borderId="7" xfId="0" applyNumberFormat="1" applyFill="1" applyBorder="1"/>
    <xf numFmtId="167" fontId="0" fillId="10" borderId="4" xfId="0" applyNumberFormat="1" applyFill="1" applyBorder="1"/>
    <xf numFmtId="165" fontId="0" fillId="10" borderId="7" xfId="0" applyNumberFormat="1" applyFill="1" applyBorder="1"/>
    <xf numFmtId="165" fontId="0" fillId="10" borderId="4" xfId="0" applyNumberFormat="1" applyFill="1" applyBorder="1"/>
    <xf numFmtId="2" fontId="0" fillId="10" borderId="5" xfId="0" applyNumberFormat="1" applyFill="1" applyBorder="1"/>
    <xf numFmtId="0" fontId="4" fillId="0" borderId="0" xfId="0" applyFont="1"/>
    <xf numFmtId="0" fontId="0" fillId="5" borderId="0" xfId="0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/>
    <xf numFmtId="166" fontId="2" fillId="0" borderId="2" xfId="0" applyNumberFormat="1" applyFont="1" applyBorder="1"/>
    <xf numFmtId="165" fontId="2" fillId="0" borderId="3" xfId="1" applyNumberFormat="1" applyFont="1" applyBorder="1"/>
    <xf numFmtId="0" fontId="2" fillId="0" borderId="7" xfId="0" applyFont="1" applyBorder="1"/>
    <xf numFmtId="165" fontId="2" fillId="0" borderId="8" xfId="1" applyNumberFormat="1" applyFont="1" applyBorder="1"/>
    <xf numFmtId="0" fontId="2" fillId="0" borderId="4" xfId="0" applyFont="1" applyBorder="1"/>
    <xf numFmtId="164" fontId="2" fillId="0" borderId="5" xfId="0" applyNumberFormat="1" applyFont="1" applyBorder="1"/>
    <xf numFmtId="0" fontId="2" fillId="0" borderId="6" xfId="0" applyFont="1" applyBorder="1"/>
    <xf numFmtId="2" fontId="2" fillId="0" borderId="17" xfId="0" applyNumberFormat="1" applyFont="1" applyBorder="1"/>
    <xf numFmtId="0" fontId="2" fillId="0" borderId="18" xfId="0" applyFont="1" applyBorder="1"/>
    <xf numFmtId="165" fontId="2" fillId="0" borderId="19" xfId="1" applyNumberFormat="1" applyFont="1" applyBorder="1"/>
    <xf numFmtId="0" fontId="3" fillId="0" borderId="0" xfId="0" applyFont="1"/>
    <xf numFmtId="164" fontId="3" fillId="0" borderId="0" xfId="0" applyNumberFormat="1" applyFont="1"/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/>
    <xf numFmtId="0" fontId="4" fillId="0" borderId="8" xfId="0" applyFont="1" applyBorder="1"/>
    <xf numFmtId="0" fontId="8" fillId="5" borderId="2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center" vertical="center" wrapText="1"/>
    </xf>
    <xf numFmtId="0" fontId="9" fillId="0" borderId="5" xfId="0" applyFont="1" applyBorder="1"/>
    <xf numFmtId="0" fontId="9" fillId="2" borderId="6" xfId="0" applyFont="1" applyFill="1" applyBorder="1"/>
    <xf numFmtId="0" fontId="5" fillId="0" borderId="7" xfId="0" applyFont="1" applyBorder="1" applyAlignment="1">
      <alignment horizontal="center" vertical="center"/>
    </xf>
    <xf numFmtId="0" fontId="6" fillId="0" borderId="0" xfId="0" applyFont="1"/>
    <xf numFmtId="0" fontId="6" fillId="0" borderId="8" xfId="0" applyFont="1" applyBorder="1"/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7" fontId="0" fillId="10" borderId="0" xfId="0" applyNumberForma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8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10" borderId="0" xfId="0" applyNumberFormat="1" applyFill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8" fillId="2" borderId="0" xfId="0" applyNumberFormat="1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8" fillId="2" borderId="0" xfId="0" applyNumberFormat="1" applyFont="1" applyFill="1" applyAlignment="1">
      <alignment horizontal="center" vertical="center"/>
    </xf>
    <xf numFmtId="0" fontId="2" fillId="0" borderId="7" xfId="0" applyFont="1" applyBorder="1" applyAlignment="1">
      <alignment horizontal="left" vertical="top"/>
    </xf>
    <xf numFmtId="0" fontId="9" fillId="0" borderId="0" xfId="0" applyFont="1"/>
    <xf numFmtId="0" fontId="11" fillId="0" borderId="0" xfId="0" applyFont="1"/>
    <xf numFmtId="0" fontId="2" fillId="15" borderId="0" xfId="0" applyFont="1" applyFill="1"/>
    <xf numFmtId="0" fontId="0" fillId="0" borderId="0" xfId="0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2" fontId="2" fillId="0" borderId="8" xfId="0" applyNumberFormat="1" applyFont="1" applyBorder="1"/>
    <xf numFmtId="165" fontId="0" fillId="0" borderId="5" xfId="1" applyNumberFormat="1" applyFont="1" applyFill="1" applyBorder="1"/>
    <xf numFmtId="11" fontId="0" fillId="0" borderId="8" xfId="0" applyNumberFormat="1" applyBorder="1"/>
    <xf numFmtId="0" fontId="0" fillId="0" borderId="8" xfId="0" applyBorder="1" applyAlignment="1">
      <alignment vertical="center"/>
    </xf>
    <xf numFmtId="0" fontId="2" fillId="4" borderId="0" xfId="0" applyFont="1" applyFill="1"/>
    <xf numFmtId="165" fontId="0" fillId="2" borderId="0" xfId="0" applyNumberFormat="1" applyFill="1"/>
    <xf numFmtId="0" fontId="0" fillId="0" borderId="0" xfId="0" applyAlignment="1">
      <alignment vertical="center"/>
    </xf>
    <xf numFmtId="0" fontId="0" fillId="5" borderId="1" xfId="0" applyFill="1" applyBorder="1"/>
    <xf numFmtId="0" fontId="0" fillId="5" borderId="3" xfId="0" applyFill="1" applyBorder="1"/>
    <xf numFmtId="0" fontId="0" fillId="2" borderId="2" xfId="0" applyFill="1" applyBorder="1"/>
    <xf numFmtId="0" fontId="0" fillId="2" borderId="20" xfId="0" applyFill="1" applyBorder="1"/>
    <xf numFmtId="0" fontId="0" fillId="0" borderId="13" xfId="0" applyBorder="1"/>
    <xf numFmtId="165" fontId="3" fillId="0" borderId="0" xfId="0" applyNumberFormat="1" applyFont="1"/>
    <xf numFmtId="167" fontId="0" fillId="2" borderId="0" xfId="0" applyNumberFormat="1" applyFill="1"/>
    <xf numFmtId="167" fontId="0" fillId="2" borderId="11" xfId="0" applyNumberFormat="1" applyFill="1" applyBorder="1"/>
    <xf numFmtId="2" fontId="0" fillId="10" borderId="0" xfId="0" applyNumberFormat="1" applyFill="1"/>
    <xf numFmtId="167" fontId="0" fillId="0" borderId="0" xfId="0" applyNumberFormat="1"/>
    <xf numFmtId="0" fontId="9" fillId="0" borderId="6" xfId="0" applyFont="1" applyBorder="1"/>
    <xf numFmtId="165" fontId="0" fillId="0" borderId="0" xfId="0" applyNumberFormat="1"/>
    <xf numFmtId="165" fontId="0" fillId="10" borderId="0" xfId="0" applyNumberFormat="1" applyFill="1"/>
    <xf numFmtId="0" fontId="0" fillId="16" borderId="0" xfId="0" applyFill="1"/>
    <xf numFmtId="0" fontId="0" fillId="5" borderId="0" xfId="0" applyFill="1" applyAlignment="1">
      <alignment wrapText="1"/>
    </xf>
    <xf numFmtId="0" fontId="6" fillId="0" borderId="0" xfId="0" applyFont="1" applyAlignment="1">
      <alignment horizontal="center" vertical="center"/>
    </xf>
    <xf numFmtId="0" fontId="0" fillId="2" borderId="0" xfId="1" applyNumberFormat="1" applyFont="1" applyFill="1" applyBorder="1"/>
    <xf numFmtId="167" fontId="2" fillId="2" borderId="0" xfId="0" applyNumberFormat="1" applyFont="1" applyFill="1"/>
    <xf numFmtId="167" fontId="2" fillId="2" borderId="11" xfId="0" applyNumberFormat="1" applyFont="1" applyFill="1" applyBorder="1"/>
    <xf numFmtId="0" fontId="8" fillId="5" borderId="3" xfId="0" applyFont="1" applyFill="1" applyBorder="1" applyAlignment="1">
      <alignment horizontal="center" vertical="center" wrapText="1"/>
    </xf>
    <xf numFmtId="164" fontId="0" fillId="0" borderId="5" xfId="0" applyNumberFormat="1" applyBorder="1"/>
    <xf numFmtId="0" fontId="8" fillId="5" borderId="1" xfId="0" applyFont="1" applyFill="1" applyBorder="1" applyAlignment="1">
      <alignment horizontal="center" vertical="center" wrapText="1"/>
    </xf>
    <xf numFmtId="2" fontId="0" fillId="0" borderId="7" xfId="0" applyNumberFormat="1" applyBorder="1"/>
    <xf numFmtId="2" fontId="0" fillId="0" borderId="4" xfId="0" applyNumberFormat="1" applyBorder="1"/>
    <xf numFmtId="0" fontId="6" fillId="0" borderId="1" xfId="0" applyFont="1" applyBorder="1" applyAlignment="1">
      <alignment vertical="center"/>
    </xf>
    <xf numFmtId="164" fontId="0" fillId="0" borderId="8" xfId="0" applyNumberFormat="1" applyBorder="1"/>
    <xf numFmtId="164" fontId="0" fillId="0" borderId="6" xfId="0" applyNumberFormat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11" borderId="3" xfId="0" applyFont="1" applyFill="1" applyBorder="1" applyAlignment="1">
      <alignment horizontal="center"/>
    </xf>
    <xf numFmtId="0" fontId="7" fillId="12" borderId="7" xfId="0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7" fillId="12" borderId="7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/>
    </xf>
    <xf numFmtId="0" fontId="7" fillId="9" borderId="15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9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 vertical="top"/>
    </xf>
    <xf numFmtId="0" fontId="10" fillId="9" borderId="5" xfId="0" applyFont="1" applyFill="1" applyBorder="1" applyAlignment="1">
      <alignment horizontal="center" vertical="top"/>
    </xf>
    <xf numFmtId="0" fontId="10" fillId="9" borderId="6" xfId="0" applyFont="1" applyFill="1" applyBorder="1" applyAlignment="1">
      <alignment horizontal="center" vertical="top"/>
    </xf>
    <xf numFmtId="0" fontId="9" fillId="13" borderId="14" xfId="0" applyFont="1" applyFill="1" applyBorder="1" applyAlignment="1">
      <alignment horizontal="center"/>
    </xf>
    <xf numFmtId="0" fontId="9" fillId="13" borderId="15" xfId="0" applyFont="1" applyFill="1" applyBorder="1" applyAlignment="1">
      <alignment horizontal="center"/>
    </xf>
    <xf numFmtId="0" fontId="9" fillId="13" borderId="16" xfId="0" applyFont="1" applyFill="1" applyBorder="1" applyAlignment="1">
      <alignment horizontal="center"/>
    </xf>
    <xf numFmtId="0" fontId="6" fillId="14" borderId="14" xfId="0" applyFont="1" applyFill="1" applyBorder="1" applyAlignment="1">
      <alignment horizontal="center"/>
    </xf>
    <xf numFmtId="0" fontId="6" fillId="14" borderId="15" xfId="0" applyFont="1" applyFill="1" applyBorder="1" applyAlignment="1">
      <alignment horizontal="center"/>
    </xf>
    <xf numFmtId="0" fontId="6" fillId="14" borderId="16" xfId="0" applyFont="1" applyFill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9" fillId="13" borderId="14" xfId="0" applyFont="1" applyFill="1" applyBorder="1" applyAlignment="1">
      <alignment horizontal="center" vertical="center"/>
    </xf>
    <xf numFmtId="0" fontId="9" fillId="13" borderId="15" xfId="0" applyFont="1" applyFill="1" applyBorder="1" applyAlignment="1">
      <alignment horizontal="center" vertical="center"/>
    </xf>
    <xf numFmtId="0" fontId="9" fillId="13" borderId="16" xfId="0" applyFont="1" applyFill="1" applyBorder="1" applyAlignment="1">
      <alignment horizontal="center" vertical="center"/>
    </xf>
    <xf numFmtId="0" fontId="6" fillId="14" borderId="14" xfId="0" applyFont="1" applyFill="1" applyBorder="1" applyAlignment="1">
      <alignment horizontal="center" vertical="center"/>
    </xf>
    <xf numFmtId="0" fontId="6" fillId="14" borderId="15" xfId="0" applyFont="1" applyFill="1" applyBorder="1" applyAlignment="1">
      <alignment horizontal="center" vertical="center"/>
    </xf>
    <xf numFmtId="0" fontId="6" fillId="14" borderId="16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2"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E8B3F3"/>
        </patternFill>
      </fill>
    </dxf>
  </dxfs>
  <tableStyles count="0" defaultTableStyle="TableStyleMedium2" defaultPivotStyle="PivotStyleLight16"/>
  <colors>
    <mruColors>
      <color rgb="FFE8B3F3"/>
      <color rgb="FFF070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puissance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0B-454E-BDE9-3A9272E0DA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0B-454E-BDE9-3A9272E0DA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0B-454E-BDE9-3A9272E0DA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répartition!$A$1:$A$3</c:f>
              <c:strCache>
                <c:ptCount val="3"/>
                <c:pt idx="0">
                  <c:v>force gravité</c:v>
                </c:pt>
                <c:pt idx="1">
                  <c:v>force roulement</c:v>
                </c:pt>
                <c:pt idx="2">
                  <c:v>force aéro</c:v>
                </c:pt>
              </c:strCache>
            </c:strRef>
          </c:cat>
          <c:val>
            <c:numRef>
              <c:f>répartition!$B$1:$B$3</c:f>
              <c:numCache>
                <c:formatCode>0.00</c:formatCode>
                <c:ptCount val="3"/>
                <c:pt idx="0" formatCode="0.0000">
                  <c:v>0</c:v>
                </c:pt>
                <c:pt idx="1">
                  <c:v>3.5718354999999997</c:v>
                </c:pt>
                <c:pt idx="2">
                  <c:v>14.624178633741854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3-4368-BEFE-314D351A0A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Différence</a:t>
            </a:r>
            <a:r>
              <a:rPr lang="fr-FR" baseline="0"/>
              <a:t> de p</a:t>
            </a:r>
            <a:r>
              <a:rPr lang="fr-FR"/>
              <a:t>uissance</a:t>
            </a:r>
            <a:r>
              <a:rPr lang="fr-FR" baseline="0"/>
              <a:t> en W/kg en fonction de la pente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 ou WpKg constant'!$J$2</c:f>
              <c:strCache>
                <c:ptCount val="1"/>
                <c:pt idx="0">
                  <c:v>différence Ultimate
W/kg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 ou WpKg constant'!$A$3:$A$28</c:f>
              <c:numCache>
                <c:formatCode>0.0%</c:formatCode>
                <c:ptCount val="26"/>
                <c:pt idx="0">
                  <c:v>0</c:v>
                </c:pt>
                <c:pt idx="1">
                  <c:v>8.0000000000000002E-3</c:v>
                </c:pt>
                <c:pt idx="2">
                  <c:v>1.6E-2</c:v>
                </c:pt>
                <c:pt idx="3">
                  <c:v>2.4E-2</c:v>
                </c:pt>
                <c:pt idx="4">
                  <c:v>3.2000000000000001E-2</c:v>
                </c:pt>
                <c:pt idx="5">
                  <c:v>0.04</c:v>
                </c:pt>
                <c:pt idx="6">
                  <c:v>4.8000000000000001E-2</c:v>
                </c:pt>
                <c:pt idx="7">
                  <c:v>5.6000000000000001E-2</c:v>
                </c:pt>
                <c:pt idx="8">
                  <c:v>6.4000000000000001E-2</c:v>
                </c:pt>
                <c:pt idx="9">
                  <c:v>7.1999999999999995E-2</c:v>
                </c:pt>
                <c:pt idx="10">
                  <c:v>0.08</c:v>
                </c:pt>
                <c:pt idx="11">
                  <c:v>8.7999999999999995E-2</c:v>
                </c:pt>
                <c:pt idx="12">
                  <c:v>9.6000000000000002E-2</c:v>
                </c:pt>
                <c:pt idx="13">
                  <c:v>0.104</c:v>
                </c:pt>
                <c:pt idx="14">
                  <c:v>0.112</c:v>
                </c:pt>
                <c:pt idx="15">
                  <c:v>0.12</c:v>
                </c:pt>
                <c:pt idx="16">
                  <c:v>0.128</c:v>
                </c:pt>
                <c:pt idx="17">
                  <c:v>0.13600000000000001</c:v>
                </c:pt>
                <c:pt idx="18">
                  <c:v>0.14399999999999999</c:v>
                </c:pt>
                <c:pt idx="19">
                  <c:v>0.152</c:v>
                </c:pt>
                <c:pt idx="20">
                  <c:v>0.16</c:v>
                </c:pt>
                <c:pt idx="21">
                  <c:v>0.16800000000000001</c:v>
                </c:pt>
                <c:pt idx="22">
                  <c:v>0.17599999999999999</c:v>
                </c:pt>
                <c:pt idx="23">
                  <c:v>0.184</c:v>
                </c:pt>
                <c:pt idx="24">
                  <c:v>0.192</c:v>
                </c:pt>
                <c:pt idx="25">
                  <c:v>0.2</c:v>
                </c:pt>
              </c:numCache>
            </c:numRef>
          </c:xVal>
          <c:yVal>
            <c:numRef>
              <c:f>'W ou WpKg constant'!$J$3:$J$28</c:f>
              <c:numCache>
                <c:formatCode>0.00</c:formatCode>
                <c:ptCount val="26"/>
                <c:pt idx="0">
                  <c:v>0.33508525569571956</c:v>
                </c:pt>
                <c:pt idx="1">
                  <c:v>0.23661902196809148</c:v>
                </c:pt>
                <c:pt idx="2">
                  <c:v>0.16232758655967183</c:v>
                </c:pt>
                <c:pt idx="3">
                  <c:v>0.10904336974929896</c:v>
                </c:pt>
                <c:pt idx="4">
                  <c:v>7.2456579172460511E-2</c:v>
                </c:pt>
                <c:pt idx="5">
                  <c:v>4.8049820189352221E-2</c:v>
                </c:pt>
                <c:pt idx="6">
                  <c:v>3.1952993854015954E-2</c:v>
                </c:pt>
                <c:pt idx="7">
                  <c:v>2.1295969827146433E-2</c:v>
                </c:pt>
                <c:pt idx="8">
                  <c:v>1.4140192692466691E-2</c:v>
                </c:pt>
                <c:pt idx="9">
                  <c:v>9.2399795672899465E-3</c:v>
                </c:pt>
                <c:pt idx="10">
                  <c:v>5.8103507315561131E-3</c:v>
                </c:pt>
                <c:pt idx="11">
                  <c:v>3.3567731652417443E-3</c:v>
                </c:pt>
                <c:pt idx="12">
                  <c:v>1.5643117452270872E-3</c:v>
                </c:pt>
                <c:pt idx="13">
                  <c:v>2.2906206043193933E-4</c:v>
                </c:pt>
                <c:pt idx="14">
                  <c:v>-7.8363467059849867E-4</c:v>
                </c:pt>
                <c:pt idx="15">
                  <c:v>-1.564131874372432E-3</c:v>
                </c:pt>
                <c:pt idx="16">
                  <c:v>-2.174686654522251E-3</c:v>
                </c:pt>
                <c:pt idx="17">
                  <c:v>-2.6587471711563282E-3</c:v>
                </c:pt>
                <c:pt idx="18">
                  <c:v>-3.0472219127233302E-3</c:v>
                </c:pt>
                <c:pt idx="19">
                  <c:v>-3.3624597467007966E-3</c:v>
                </c:pt>
                <c:pt idx="20">
                  <c:v>-3.6208664872088292E-3</c:v>
                </c:pt>
                <c:pt idx="21">
                  <c:v>-3.8346550644683397E-3</c:v>
                </c:pt>
                <c:pt idx="22">
                  <c:v>-4.0130356691725488E-3</c:v>
                </c:pt>
                <c:pt idx="23">
                  <c:v>-4.1630378249726263E-3</c:v>
                </c:pt>
                <c:pt idx="24">
                  <c:v>-4.2900866459802955E-3</c:v>
                </c:pt>
                <c:pt idx="25">
                  <c:v>-4.3984124073217501E-3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88-415E-ABB2-C0C49ADF6562}"/>
            </c:ext>
          </c:extLst>
        </c:ser>
        <c:ser>
          <c:idx val="1"/>
          <c:order val="1"/>
          <c:tx>
            <c:strRef>
              <c:f>'W ou WpKg constant'!$L$2</c:f>
              <c:strCache>
                <c:ptCount val="1"/>
                <c:pt idx="0">
                  <c:v>différence Rose 
W/kg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'W ou WpKg constant'!$A$3:$A$28</c:f>
              <c:numCache>
                <c:formatCode>0.0%</c:formatCode>
                <c:ptCount val="26"/>
                <c:pt idx="0">
                  <c:v>0</c:v>
                </c:pt>
                <c:pt idx="1">
                  <c:v>8.0000000000000002E-3</c:v>
                </c:pt>
                <c:pt idx="2">
                  <c:v>1.6E-2</c:v>
                </c:pt>
                <c:pt idx="3">
                  <c:v>2.4E-2</c:v>
                </c:pt>
                <c:pt idx="4">
                  <c:v>3.2000000000000001E-2</c:v>
                </c:pt>
                <c:pt idx="5">
                  <c:v>0.04</c:v>
                </c:pt>
                <c:pt idx="6">
                  <c:v>4.8000000000000001E-2</c:v>
                </c:pt>
                <c:pt idx="7">
                  <c:v>5.6000000000000001E-2</c:v>
                </c:pt>
                <c:pt idx="8">
                  <c:v>6.4000000000000001E-2</c:v>
                </c:pt>
                <c:pt idx="9">
                  <c:v>7.1999999999999995E-2</c:v>
                </c:pt>
                <c:pt idx="10">
                  <c:v>0.08</c:v>
                </c:pt>
                <c:pt idx="11">
                  <c:v>8.7999999999999995E-2</c:v>
                </c:pt>
                <c:pt idx="12">
                  <c:v>9.6000000000000002E-2</c:v>
                </c:pt>
                <c:pt idx="13">
                  <c:v>0.104</c:v>
                </c:pt>
                <c:pt idx="14">
                  <c:v>0.112</c:v>
                </c:pt>
                <c:pt idx="15">
                  <c:v>0.12</c:v>
                </c:pt>
                <c:pt idx="16">
                  <c:v>0.128</c:v>
                </c:pt>
                <c:pt idx="17">
                  <c:v>0.13600000000000001</c:v>
                </c:pt>
                <c:pt idx="18">
                  <c:v>0.14399999999999999</c:v>
                </c:pt>
                <c:pt idx="19">
                  <c:v>0.152</c:v>
                </c:pt>
                <c:pt idx="20">
                  <c:v>0.16</c:v>
                </c:pt>
                <c:pt idx="21">
                  <c:v>0.16800000000000001</c:v>
                </c:pt>
                <c:pt idx="22">
                  <c:v>0.17599999999999999</c:v>
                </c:pt>
                <c:pt idx="23">
                  <c:v>0.184</c:v>
                </c:pt>
                <c:pt idx="24">
                  <c:v>0.192</c:v>
                </c:pt>
                <c:pt idx="25">
                  <c:v>0.2</c:v>
                </c:pt>
              </c:numCache>
            </c:numRef>
          </c:xVal>
          <c:yVal>
            <c:numRef>
              <c:f>'W ou WpKg constant'!$L$3:$L$28</c:f>
              <c:numCache>
                <c:formatCode>0.00</c:formatCode>
                <c:ptCount val="26"/>
                <c:pt idx="0">
                  <c:v>-0.20200502526465369</c:v>
                </c:pt>
                <c:pt idx="1">
                  <c:v>-0.16685569370015862</c:v>
                </c:pt>
                <c:pt idx="2">
                  <c:v>-0.14033598892144239</c:v>
                </c:pt>
                <c:pt idx="3">
                  <c:v>-0.12131520207199209</c:v>
                </c:pt>
                <c:pt idx="4">
                  <c:v>-0.10825515691025078</c:v>
                </c:pt>
                <c:pt idx="5">
                  <c:v>-9.9542433788471829E-2</c:v>
                </c:pt>
                <c:pt idx="6">
                  <c:v>-9.3796376295127271E-2</c:v>
                </c:pt>
                <c:pt idx="7">
                  <c:v>-8.9992155721966505E-2</c:v>
                </c:pt>
                <c:pt idx="8">
                  <c:v>-8.7437769377209928E-2</c:v>
                </c:pt>
                <c:pt idx="9">
                  <c:v>-8.5688548041369828E-2</c:v>
                </c:pt>
                <c:pt idx="10">
                  <c:v>-8.4464278836115625E-2</c:v>
                </c:pt>
                <c:pt idx="11">
                  <c:v>-8.3588429116936425E-2</c:v>
                </c:pt>
                <c:pt idx="12">
                  <c:v>-8.2948576993762124E-2</c:v>
                </c:pt>
                <c:pt idx="13">
                  <c:v>-8.2471935028455512E-2</c:v>
                </c:pt>
                <c:pt idx="14">
                  <c:v>-8.2110834178633851E-2</c:v>
                </c:pt>
                <c:pt idx="15">
                  <c:v>-8.1832158683273537E-2</c:v>
                </c:pt>
                <c:pt idx="16">
                  <c:v>-8.1614159065370284E-2</c:v>
                </c:pt>
                <c:pt idx="17">
                  <c:v>-8.1441323267036125E-2</c:v>
                </c:pt>
                <c:pt idx="18">
                  <c:v>-8.1302616001510675E-2</c:v>
                </c:pt>
                <c:pt idx="19">
                  <c:v>-8.1190057913954394E-2</c:v>
                </c:pt>
                <c:pt idx="20">
                  <c:v>-8.1097791463723201E-2</c:v>
                </c:pt>
                <c:pt idx="21">
                  <c:v>-8.1021456095904387E-2</c:v>
                </c:pt>
                <c:pt idx="22">
                  <c:v>-8.0957763338544986E-2</c:v>
                </c:pt>
                <c:pt idx="23">
                  <c:v>-8.0904203302936573E-2</c:v>
                </c:pt>
                <c:pt idx="24">
                  <c:v>-8.0858838942698963E-2</c:v>
                </c:pt>
                <c:pt idx="25">
                  <c:v>-8.0820159823169035E-2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88-415E-ABB2-C0C49ADF6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055312"/>
        <c:axId val="1816057232"/>
      </c:scatterChart>
      <c:valAx>
        <c:axId val="181605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6057232"/>
        <c:crosses val="autoZero"/>
        <c:crossBetween val="midCat"/>
      </c:valAx>
      <c:valAx>
        <c:axId val="181605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16055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Différence de puissance W/kg en fonction de la vitesse (km/h)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 ou WpKg constant'!$U$2</c:f>
              <c:strCache>
                <c:ptCount val="1"/>
                <c:pt idx="0">
                  <c:v>différence Ultimate
W/kg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'W ou WpKg constant'!$M$3:$M$28</c:f>
              <c:numCache>
                <c:formatCode>0.0</c:formatCode>
                <c:ptCount val="26"/>
                <c:pt idx="0">
                  <c:v>10</c:v>
                </c:pt>
                <c:pt idx="1">
                  <c:v>11.5</c:v>
                </c:pt>
                <c:pt idx="2">
                  <c:v>13</c:v>
                </c:pt>
                <c:pt idx="3">
                  <c:v>14.5</c:v>
                </c:pt>
                <c:pt idx="4">
                  <c:v>16</c:v>
                </c:pt>
                <c:pt idx="5">
                  <c:v>17.5</c:v>
                </c:pt>
                <c:pt idx="6">
                  <c:v>19</c:v>
                </c:pt>
                <c:pt idx="7">
                  <c:v>20.5</c:v>
                </c:pt>
                <c:pt idx="8">
                  <c:v>22</c:v>
                </c:pt>
                <c:pt idx="9">
                  <c:v>23.5</c:v>
                </c:pt>
                <c:pt idx="10">
                  <c:v>25</c:v>
                </c:pt>
                <c:pt idx="11">
                  <c:v>26.5</c:v>
                </c:pt>
                <c:pt idx="12">
                  <c:v>28</c:v>
                </c:pt>
                <c:pt idx="13">
                  <c:v>29.5</c:v>
                </c:pt>
                <c:pt idx="14">
                  <c:v>31</c:v>
                </c:pt>
                <c:pt idx="15">
                  <c:v>32.5</c:v>
                </c:pt>
                <c:pt idx="16">
                  <c:v>34</c:v>
                </c:pt>
                <c:pt idx="17">
                  <c:v>35.5</c:v>
                </c:pt>
                <c:pt idx="18">
                  <c:v>37</c:v>
                </c:pt>
                <c:pt idx="19">
                  <c:v>38.5</c:v>
                </c:pt>
                <c:pt idx="20">
                  <c:v>40</c:v>
                </c:pt>
                <c:pt idx="21">
                  <c:v>41.5</c:v>
                </c:pt>
                <c:pt idx="22">
                  <c:v>43</c:v>
                </c:pt>
                <c:pt idx="23">
                  <c:v>44.5</c:v>
                </c:pt>
                <c:pt idx="24">
                  <c:v>46</c:v>
                </c:pt>
                <c:pt idx="25">
                  <c:v>47.5</c:v>
                </c:pt>
              </c:numCache>
            </c:numRef>
          </c:xVal>
          <c:yVal>
            <c:numRef>
              <c:f>'W ou WpKg constant'!$U$3:$U$28</c:f>
              <c:numCache>
                <c:formatCode>0.00</c:formatCode>
                <c:ptCount val="26"/>
                <c:pt idx="0">
                  <c:v>3.6993424852393431E-2</c:v>
                </c:pt>
                <c:pt idx="1">
                  <c:v>4.0429237195446277E-2</c:v>
                </c:pt>
                <c:pt idx="2">
                  <c:v>4.4973809091702899E-2</c:v>
                </c:pt>
                <c:pt idx="3">
                  <c:v>5.1781565881272418E-2</c:v>
                </c:pt>
                <c:pt idx="4">
                  <c:v>6.0636777626440319E-2</c:v>
                </c:pt>
                <c:pt idx="5">
                  <c:v>6.980092612457045E-2</c:v>
                </c:pt>
                <c:pt idx="6">
                  <c:v>7.7133617282752476E-2</c:v>
                </c:pt>
                <c:pt idx="7">
                  <c:v>9.0782589785785794E-2</c:v>
                </c:pt>
                <c:pt idx="8">
                  <c:v>0.1036240086129715</c:v>
                </c:pt>
                <c:pt idx="9">
                  <c:v>0.12069844181687595</c:v>
                </c:pt>
                <c:pt idx="10">
                  <c:v>0.13910021184969934</c:v>
                </c:pt>
                <c:pt idx="11">
                  <c:v>0.1596315699146269</c:v>
                </c:pt>
                <c:pt idx="12">
                  <c:v>0.1832178819637349</c:v>
                </c:pt>
                <c:pt idx="13">
                  <c:v>0.20950378249020929</c:v>
                </c:pt>
                <c:pt idx="14">
                  <c:v>0.23863389230533683</c:v>
                </c:pt>
                <c:pt idx="15">
                  <c:v>0.27075283222040625</c:v>
                </c:pt>
                <c:pt idx="16">
                  <c:v>0.30600522304670363</c:v>
                </c:pt>
                <c:pt idx="17">
                  <c:v>0.34453568559551728</c:v>
                </c:pt>
                <c:pt idx="18">
                  <c:v>0.38648884067813505</c:v>
                </c:pt>
                <c:pt idx="19">
                  <c:v>0.43200930910584479</c:v>
                </c:pt>
                <c:pt idx="20">
                  <c:v>0.48124171168993168</c:v>
                </c:pt>
                <c:pt idx="21">
                  <c:v>0.53433066924168404</c:v>
                </c:pt>
                <c:pt idx="22">
                  <c:v>0.59142080257239105</c:v>
                </c:pt>
                <c:pt idx="23">
                  <c:v>0.652656732493341</c:v>
                </c:pt>
                <c:pt idx="24">
                  <c:v>0.71818307981581775</c:v>
                </c:pt>
                <c:pt idx="25">
                  <c:v>0.78814446535111049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21-4E3A-8996-116C08628310}"/>
            </c:ext>
          </c:extLst>
        </c:ser>
        <c:ser>
          <c:idx val="1"/>
          <c:order val="1"/>
          <c:tx>
            <c:strRef>
              <c:f>'W ou WpKg constant'!$W$2</c:f>
              <c:strCache>
                <c:ptCount val="1"/>
                <c:pt idx="0">
                  <c:v>différence Rose 
W/kg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'W ou WpKg constant'!$M$3:$M$28</c:f>
              <c:numCache>
                <c:formatCode>0.0</c:formatCode>
                <c:ptCount val="26"/>
                <c:pt idx="0">
                  <c:v>10</c:v>
                </c:pt>
                <c:pt idx="1">
                  <c:v>11.5</c:v>
                </c:pt>
                <c:pt idx="2">
                  <c:v>13</c:v>
                </c:pt>
                <c:pt idx="3">
                  <c:v>14.5</c:v>
                </c:pt>
                <c:pt idx="4">
                  <c:v>16</c:v>
                </c:pt>
                <c:pt idx="5">
                  <c:v>17.5</c:v>
                </c:pt>
                <c:pt idx="6">
                  <c:v>19</c:v>
                </c:pt>
                <c:pt idx="7">
                  <c:v>20.5</c:v>
                </c:pt>
                <c:pt idx="8">
                  <c:v>22</c:v>
                </c:pt>
                <c:pt idx="9">
                  <c:v>23.5</c:v>
                </c:pt>
                <c:pt idx="10">
                  <c:v>25</c:v>
                </c:pt>
                <c:pt idx="11">
                  <c:v>26.5</c:v>
                </c:pt>
                <c:pt idx="12">
                  <c:v>28</c:v>
                </c:pt>
                <c:pt idx="13">
                  <c:v>29.5</c:v>
                </c:pt>
                <c:pt idx="14">
                  <c:v>31</c:v>
                </c:pt>
                <c:pt idx="15">
                  <c:v>32.5</c:v>
                </c:pt>
                <c:pt idx="16">
                  <c:v>34</c:v>
                </c:pt>
                <c:pt idx="17">
                  <c:v>35.5</c:v>
                </c:pt>
                <c:pt idx="18">
                  <c:v>37</c:v>
                </c:pt>
                <c:pt idx="19">
                  <c:v>38.5</c:v>
                </c:pt>
                <c:pt idx="20">
                  <c:v>40</c:v>
                </c:pt>
                <c:pt idx="21">
                  <c:v>41.5</c:v>
                </c:pt>
                <c:pt idx="22">
                  <c:v>43</c:v>
                </c:pt>
                <c:pt idx="23">
                  <c:v>44.5</c:v>
                </c:pt>
                <c:pt idx="24">
                  <c:v>46</c:v>
                </c:pt>
                <c:pt idx="25">
                  <c:v>47.5</c:v>
                </c:pt>
              </c:numCache>
            </c:numRef>
          </c:xVal>
          <c:yVal>
            <c:numRef>
              <c:f>'W ou WpKg constant'!$W$3:$W$28</c:f>
              <c:numCache>
                <c:formatCode>0.00</c:formatCode>
                <c:ptCount val="26"/>
                <c:pt idx="0">
                  <c:v>-8.437524440125993E-3</c:v>
                </c:pt>
                <c:pt idx="1">
                  <c:v>-1.1305516931767623E-2</c:v>
                </c:pt>
                <c:pt idx="2">
                  <c:v>-1.4844266373670145E-2</c:v>
                </c:pt>
                <c:pt idx="3">
                  <c:v>-1.6946663771188086E-2</c:v>
                </c:pt>
                <c:pt idx="4">
                  <c:v>-1.8483346178618743E-2</c:v>
                </c:pt>
                <c:pt idx="5">
                  <c:v>-2.363441258690091E-2</c:v>
                </c:pt>
                <c:pt idx="6">
                  <c:v>-3.7453355217505813E-2</c:v>
                </c:pt>
                <c:pt idx="7">
                  <c:v>-4.2634560557199164E-2</c:v>
                </c:pt>
                <c:pt idx="8">
                  <c:v>-5.5061987835860471E-2</c:v>
                </c:pt>
                <c:pt idx="9">
                  <c:v>-6.4182809318094947E-2</c:v>
                </c:pt>
                <c:pt idx="10">
                  <c:v>-7.6713700822885977E-2</c:v>
                </c:pt>
                <c:pt idx="11">
                  <c:v>-9.131293021596143E-2</c:v>
                </c:pt>
                <c:pt idx="12">
                  <c:v>-0.10637120119494958</c:v>
                </c:pt>
                <c:pt idx="13">
                  <c:v>-0.12306261953109465</c:v>
                </c:pt>
                <c:pt idx="14">
                  <c:v>-0.14147467526138735</c:v>
                </c:pt>
                <c:pt idx="15">
                  <c:v>-0.16169485842281706</c:v>
                </c:pt>
                <c:pt idx="16">
                  <c:v>-0.1838106590523747</c:v>
                </c:pt>
                <c:pt idx="17">
                  <c:v>-0.207909567187051</c:v>
                </c:pt>
                <c:pt idx="18">
                  <c:v>-0.23407907286383667</c:v>
                </c:pt>
                <c:pt idx="19">
                  <c:v>-0.26240666611972152</c:v>
                </c:pt>
                <c:pt idx="20">
                  <c:v>-0.29297983699169716</c:v>
                </c:pt>
                <c:pt idx="21">
                  <c:v>-0.3258860755167543</c:v>
                </c:pt>
                <c:pt idx="22">
                  <c:v>-0.36121287173188144</c:v>
                </c:pt>
                <c:pt idx="23">
                  <c:v>-0.3990477156740706</c:v>
                </c:pt>
                <c:pt idx="24">
                  <c:v>-0.43947809738031207</c:v>
                </c:pt>
                <c:pt idx="25">
                  <c:v>-0.482591506887597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1-4E3A-8996-116C08628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386704"/>
        <c:axId val="1497230336"/>
      </c:scatterChart>
      <c:valAx>
        <c:axId val="127038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97230336"/>
        <c:crosses val="autoZero"/>
        <c:crossBetween val="midCat"/>
      </c:valAx>
      <c:valAx>
        <c:axId val="149723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70386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vitesse en fonction de la pente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 profils'!$B$2</c:f>
              <c:strCache>
                <c:ptCount val="1"/>
                <c:pt idx="0">
                  <c:v>Aeroad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profils'!$A$3:$A$28</c:f>
              <c:numCache>
                <c:formatCode>0.0%</c:formatCode>
                <c:ptCount val="26"/>
                <c:pt idx="0">
                  <c:v>0</c:v>
                </c:pt>
                <c:pt idx="1">
                  <c:v>8.0000000000000002E-3</c:v>
                </c:pt>
                <c:pt idx="2">
                  <c:v>1.6E-2</c:v>
                </c:pt>
                <c:pt idx="3">
                  <c:v>2.4E-2</c:v>
                </c:pt>
                <c:pt idx="4">
                  <c:v>3.2000000000000001E-2</c:v>
                </c:pt>
                <c:pt idx="5">
                  <c:v>0.04</c:v>
                </c:pt>
                <c:pt idx="6">
                  <c:v>4.8000000000000001E-2</c:v>
                </c:pt>
                <c:pt idx="7">
                  <c:v>5.6000000000000001E-2</c:v>
                </c:pt>
                <c:pt idx="8">
                  <c:v>6.4000000000000001E-2</c:v>
                </c:pt>
                <c:pt idx="9">
                  <c:v>7.1999999999999995E-2</c:v>
                </c:pt>
                <c:pt idx="10">
                  <c:v>0.08</c:v>
                </c:pt>
                <c:pt idx="11">
                  <c:v>8.7999999999999995E-2</c:v>
                </c:pt>
                <c:pt idx="12">
                  <c:v>9.6000000000000002E-2</c:v>
                </c:pt>
                <c:pt idx="13">
                  <c:v>0.104</c:v>
                </c:pt>
                <c:pt idx="14">
                  <c:v>0.112</c:v>
                </c:pt>
                <c:pt idx="15">
                  <c:v>0.12</c:v>
                </c:pt>
                <c:pt idx="16">
                  <c:v>0.128</c:v>
                </c:pt>
                <c:pt idx="17">
                  <c:v>0.13600000000000001</c:v>
                </c:pt>
                <c:pt idx="18">
                  <c:v>0.14399999999999999</c:v>
                </c:pt>
                <c:pt idx="19">
                  <c:v>0.152</c:v>
                </c:pt>
                <c:pt idx="20">
                  <c:v>0.16</c:v>
                </c:pt>
                <c:pt idx="21">
                  <c:v>0.16800000000000001</c:v>
                </c:pt>
                <c:pt idx="22">
                  <c:v>0.17599999999999999</c:v>
                </c:pt>
                <c:pt idx="23">
                  <c:v>0.184</c:v>
                </c:pt>
                <c:pt idx="24">
                  <c:v>0.192</c:v>
                </c:pt>
                <c:pt idx="25">
                  <c:v>0.2</c:v>
                </c:pt>
              </c:numCache>
            </c:numRef>
          </c:xVal>
          <c:yVal>
            <c:numRef>
              <c:f>'2 profils'!$B$3:$B$28</c:f>
              <c:numCache>
                <c:formatCode>0.00</c:formatCode>
                <c:ptCount val="26"/>
                <c:pt idx="0">
                  <c:v>34.809241118533706</c:v>
                </c:pt>
                <c:pt idx="1">
                  <c:v>31.103668579275894</c:v>
                </c:pt>
                <c:pt idx="2">
                  <c:v>27.561953626015775</c:v>
                </c:pt>
                <c:pt idx="3">
                  <c:v>24.296260003473655</c:v>
                </c:pt>
                <c:pt idx="4">
                  <c:v>21.392560581584938</c:v>
                </c:pt>
                <c:pt idx="5">
                  <c:v>18.887730611213112</c:v>
                </c:pt>
                <c:pt idx="6">
                  <c:v>16.76997356617775</c:v>
                </c:pt>
                <c:pt idx="7">
                  <c:v>14.996940470900629</c:v>
                </c:pt>
                <c:pt idx="8">
                  <c:v>13.514782356291935</c:v>
                </c:pt>
                <c:pt idx="9">
                  <c:v>12.271185930048759</c:v>
                </c:pt>
                <c:pt idx="10">
                  <c:v>11.220804316418389</c:v>
                </c:pt>
                <c:pt idx="11">
                  <c:v>10.326502833129519</c:v>
                </c:pt>
                <c:pt idx="12">
                  <c:v>9.558679565435213</c:v>
                </c:pt>
                <c:pt idx="13">
                  <c:v>8.8939878518436757</c:v>
                </c:pt>
                <c:pt idx="14">
                  <c:v>8.3140447898587233</c:v>
                </c:pt>
                <c:pt idx="15">
                  <c:v>7.8043271999373687</c:v>
                </c:pt>
                <c:pt idx="16">
                  <c:v>7.3532914227012931</c:v>
                </c:pt>
                <c:pt idx="17">
                  <c:v>6.9516935495733012</c:v>
                </c:pt>
                <c:pt idx="18">
                  <c:v>6.5920715802725347</c:v>
                </c:pt>
                <c:pt idx="19">
                  <c:v>6.268352539347827</c:v>
                </c:pt>
                <c:pt idx="20">
                  <c:v>5.9755540165162175</c:v>
                </c:pt>
                <c:pt idx="21">
                  <c:v>5.7095564552628</c:v>
                </c:pt>
                <c:pt idx="22">
                  <c:v>5.4669283675479461</c:v>
                </c:pt>
                <c:pt idx="23">
                  <c:v>5.2447912369726373</c:v>
                </c:pt>
                <c:pt idx="24">
                  <c:v>5.0407143239064034</c:v>
                </c:pt>
                <c:pt idx="25">
                  <c:v>4.8526321354285118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6E-4231-B147-2CBBE739B5BE}"/>
            </c:ext>
          </c:extLst>
        </c:ser>
        <c:ser>
          <c:idx val="1"/>
          <c:order val="1"/>
          <c:tx>
            <c:strRef>
              <c:f>'2 profils'!$C$2</c:f>
              <c:strCache>
                <c:ptCount val="1"/>
                <c:pt idx="0">
                  <c:v>Rose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 profils'!$A$3:$A$28</c:f>
              <c:numCache>
                <c:formatCode>0.0%</c:formatCode>
                <c:ptCount val="26"/>
                <c:pt idx="0">
                  <c:v>0</c:v>
                </c:pt>
                <c:pt idx="1">
                  <c:v>8.0000000000000002E-3</c:v>
                </c:pt>
                <c:pt idx="2">
                  <c:v>1.6E-2</c:v>
                </c:pt>
                <c:pt idx="3">
                  <c:v>2.4E-2</c:v>
                </c:pt>
                <c:pt idx="4">
                  <c:v>3.2000000000000001E-2</c:v>
                </c:pt>
                <c:pt idx="5">
                  <c:v>0.04</c:v>
                </c:pt>
                <c:pt idx="6">
                  <c:v>4.8000000000000001E-2</c:v>
                </c:pt>
                <c:pt idx="7">
                  <c:v>5.6000000000000001E-2</c:v>
                </c:pt>
                <c:pt idx="8">
                  <c:v>6.4000000000000001E-2</c:v>
                </c:pt>
                <c:pt idx="9">
                  <c:v>7.1999999999999995E-2</c:v>
                </c:pt>
                <c:pt idx="10">
                  <c:v>0.08</c:v>
                </c:pt>
                <c:pt idx="11">
                  <c:v>8.7999999999999995E-2</c:v>
                </c:pt>
                <c:pt idx="12">
                  <c:v>9.6000000000000002E-2</c:v>
                </c:pt>
                <c:pt idx="13">
                  <c:v>0.104</c:v>
                </c:pt>
                <c:pt idx="14">
                  <c:v>0.112</c:v>
                </c:pt>
                <c:pt idx="15">
                  <c:v>0.12</c:v>
                </c:pt>
                <c:pt idx="16">
                  <c:v>0.128</c:v>
                </c:pt>
                <c:pt idx="17">
                  <c:v>0.13600000000000001</c:v>
                </c:pt>
                <c:pt idx="18">
                  <c:v>0.14399999999999999</c:v>
                </c:pt>
                <c:pt idx="19">
                  <c:v>0.152</c:v>
                </c:pt>
                <c:pt idx="20">
                  <c:v>0.16</c:v>
                </c:pt>
                <c:pt idx="21">
                  <c:v>0.16800000000000001</c:v>
                </c:pt>
                <c:pt idx="22">
                  <c:v>0.17599999999999999</c:v>
                </c:pt>
                <c:pt idx="23">
                  <c:v>0.184</c:v>
                </c:pt>
                <c:pt idx="24">
                  <c:v>0.192</c:v>
                </c:pt>
                <c:pt idx="25">
                  <c:v>0.2</c:v>
                </c:pt>
              </c:numCache>
            </c:numRef>
          </c:xVal>
          <c:yVal>
            <c:numRef>
              <c:f>'2 profils'!$C$3:$C$28</c:f>
              <c:numCache>
                <c:formatCode>0.00</c:formatCode>
                <c:ptCount val="26"/>
                <c:pt idx="0">
                  <c:v>34.368500306781655</c:v>
                </c:pt>
                <c:pt idx="1">
                  <c:v>30.500429364336004</c:v>
                </c:pt>
                <c:pt idx="2">
                  <c:v>26.8245578092573</c:v>
                </c:pt>
                <c:pt idx="3">
                  <c:v>23.469334746454589</c:v>
                </c:pt>
                <c:pt idx="4">
                  <c:v>20.525936876645645</c:v>
                </c:pt>
                <c:pt idx="5">
                  <c:v>18.023485781309972</c:v>
                </c:pt>
                <c:pt idx="6">
                  <c:v>15.936016510119554</c:v>
                </c:pt>
                <c:pt idx="7">
                  <c:v>14.207651695701593</c:v>
                </c:pt>
                <c:pt idx="8">
                  <c:v>12.775365305465392</c:v>
                </c:pt>
                <c:pt idx="9">
                  <c:v>11.581489987010416</c:v>
                </c:pt>
                <c:pt idx="10">
                  <c:v>10.578035729817191</c:v>
                </c:pt>
                <c:pt idx="11">
                  <c:v>9.7268044498212198</c:v>
                </c:pt>
                <c:pt idx="12">
                  <c:v>8.9979608915362448</c:v>
                </c:pt>
                <c:pt idx="13">
                  <c:v>8.3683228454964365</c:v>
                </c:pt>
                <c:pt idx="14">
                  <c:v>7.8198386738251342</c:v>
                </c:pt>
                <c:pt idx="15">
                  <c:v>7.3383664268089195</c:v>
                </c:pt>
                <c:pt idx="16">
                  <c:v>6.9127379343921556</c:v>
                </c:pt>
                <c:pt idx="17">
                  <c:v>6.5340549416108979</c:v>
                </c:pt>
                <c:pt idx="18">
                  <c:v>6.1951630029896219</c:v>
                </c:pt>
                <c:pt idx="19">
                  <c:v>5.8902826073825691</c:v>
                </c:pt>
                <c:pt idx="20">
                  <c:v>5.6146105514885356</c:v>
                </c:pt>
                <c:pt idx="21">
                  <c:v>5.3642576443054564</c:v>
                </c:pt>
                <c:pt idx="22">
                  <c:v>5.1359649727984626</c:v>
                </c:pt>
                <c:pt idx="23">
                  <c:v>4.9270027223047883</c:v>
                </c:pt>
                <c:pt idx="24">
                  <c:v>4.7350685033195585</c:v>
                </c:pt>
                <c:pt idx="25">
                  <c:v>4.5582078776062724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6E-4231-B147-2CBBE739B5BE}"/>
            </c:ext>
          </c:extLst>
        </c:ser>
        <c:ser>
          <c:idx val="2"/>
          <c:order val="2"/>
          <c:tx>
            <c:strRef>
              <c:f>'2 profils'!$D$2</c:f>
              <c:strCache>
                <c:ptCount val="1"/>
                <c:pt idx="0">
                  <c:v>Ultimate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 profils'!$A$3:$A$28</c:f>
              <c:numCache>
                <c:formatCode>0.0%</c:formatCode>
                <c:ptCount val="26"/>
                <c:pt idx="0">
                  <c:v>0</c:v>
                </c:pt>
                <c:pt idx="1">
                  <c:v>8.0000000000000002E-3</c:v>
                </c:pt>
                <c:pt idx="2">
                  <c:v>1.6E-2</c:v>
                </c:pt>
                <c:pt idx="3">
                  <c:v>2.4E-2</c:v>
                </c:pt>
                <c:pt idx="4">
                  <c:v>3.2000000000000001E-2</c:v>
                </c:pt>
                <c:pt idx="5">
                  <c:v>0.04</c:v>
                </c:pt>
                <c:pt idx="6">
                  <c:v>4.8000000000000001E-2</c:v>
                </c:pt>
                <c:pt idx="7">
                  <c:v>5.6000000000000001E-2</c:v>
                </c:pt>
                <c:pt idx="8">
                  <c:v>6.4000000000000001E-2</c:v>
                </c:pt>
                <c:pt idx="9">
                  <c:v>7.1999999999999995E-2</c:v>
                </c:pt>
                <c:pt idx="10">
                  <c:v>0.08</c:v>
                </c:pt>
                <c:pt idx="11">
                  <c:v>8.7999999999999995E-2</c:v>
                </c:pt>
                <c:pt idx="12">
                  <c:v>9.6000000000000002E-2</c:v>
                </c:pt>
                <c:pt idx="13">
                  <c:v>0.104</c:v>
                </c:pt>
                <c:pt idx="14">
                  <c:v>0.112</c:v>
                </c:pt>
                <c:pt idx="15">
                  <c:v>0.12</c:v>
                </c:pt>
                <c:pt idx="16">
                  <c:v>0.128</c:v>
                </c:pt>
                <c:pt idx="17">
                  <c:v>0.13600000000000001</c:v>
                </c:pt>
                <c:pt idx="18">
                  <c:v>0.14399999999999999</c:v>
                </c:pt>
                <c:pt idx="19">
                  <c:v>0.152</c:v>
                </c:pt>
                <c:pt idx="20">
                  <c:v>0.16</c:v>
                </c:pt>
                <c:pt idx="21">
                  <c:v>0.16800000000000001</c:v>
                </c:pt>
                <c:pt idx="22">
                  <c:v>0.17599999999999999</c:v>
                </c:pt>
                <c:pt idx="23">
                  <c:v>0.184</c:v>
                </c:pt>
                <c:pt idx="24">
                  <c:v>0.192</c:v>
                </c:pt>
                <c:pt idx="25">
                  <c:v>0.2</c:v>
                </c:pt>
              </c:numCache>
            </c:numRef>
          </c:xVal>
          <c:yVal>
            <c:numRef>
              <c:f>'2 profils'!$D$3:$D$28</c:f>
              <c:numCache>
                <c:formatCode>0.00</c:formatCode>
                <c:ptCount val="26"/>
                <c:pt idx="0">
                  <c:v>33.543682492838286</c:v>
                </c:pt>
                <c:pt idx="1">
                  <c:v>30.122445518816274</c:v>
                </c:pt>
                <c:pt idx="2">
                  <c:v>26.839506085679812</c:v>
                </c:pt>
                <c:pt idx="3">
                  <c:v>23.790982297383579</c:v>
                </c:pt>
                <c:pt idx="4">
                  <c:v>21.05429558894582</c:v>
                </c:pt>
                <c:pt idx="5">
                  <c:v>18.668262519325868</c:v>
                </c:pt>
                <c:pt idx="6">
                  <c:v>16.630316250391548</c:v>
                </c:pt>
                <c:pt idx="7">
                  <c:v>14.909130243564089</c:v>
                </c:pt>
                <c:pt idx="8">
                  <c:v>13.460206412238435</c:v>
                </c:pt>
                <c:pt idx="9">
                  <c:v>12.237912229782205</c:v>
                </c:pt>
                <c:pt idx="10">
                  <c:v>11.20128796362399</c:v>
                </c:pt>
                <c:pt idx="11">
                  <c:v>10.315967786065814</c:v>
                </c:pt>
                <c:pt idx="12">
                  <c:v>9.5540739830326249</c:v>
                </c:pt>
                <c:pt idx="13">
                  <c:v>8.893335349683932</c:v>
                </c:pt>
                <c:pt idx="14">
                  <c:v>8.3160461833572885</c:v>
                </c:pt>
                <c:pt idx="15">
                  <c:v>7.808115622163827</c:v>
                </c:pt>
                <c:pt idx="16">
                  <c:v>7.3582802816995256</c:v>
                </c:pt>
                <c:pt idx="17">
                  <c:v>6.9574808498052061</c:v>
                </c:pt>
                <c:pt idx="18">
                  <c:v>6.5983787916395782</c:v>
                </c:pt>
                <c:pt idx="19">
                  <c:v>6.274984921089759</c:v>
                </c:pt>
                <c:pt idx="20">
                  <c:v>5.9823744634030209</c:v>
                </c:pt>
                <c:pt idx="21">
                  <c:v>5.7164679981820248</c:v>
                </c:pt>
                <c:pt idx="22">
                  <c:v>5.4738622981912233</c:v>
                </c:pt>
                <c:pt idx="23">
                  <c:v>5.2516989419481233</c:v>
                </c:pt>
                <c:pt idx="24">
                  <c:v>5.0475616003631609</c:v>
                </c:pt>
                <c:pt idx="25">
                  <c:v>4.8593951891774436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6E-4231-B147-2CBBE739B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988207"/>
        <c:axId val="648993487"/>
      </c:scatterChart>
      <c:valAx>
        <c:axId val="648988207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8993487"/>
        <c:crosses val="autoZero"/>
        <c:crossBetween val="midCat"/>
      </c:valAx>
      <c:valAx>
        <c:axId val="648993487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8988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différence de vitesse avec Aeroad en fonction</a:t>
            </a:r>
            <a:r>
              <a:rPr lang="fr-FR" baseline="0"/>
              <a:t> de la pente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 profils'!$B$30</c:f>
              <c:strCache>
                <c:ptCount val="1"/>
                <c:pt idx="0">
                  <c:v>écart Rose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profils'!$A$31:$A$56</c:f>
              <c:numCache>
                <c:formatCode>0.0%</c:formatCode>
                <c:ptCount val="26"/>
                <c:pt idx="0">
                  <c:v>0</c:v>
                </c:pt>
                <c:pt idx="1">
                  <c:v>8.0000000000000002E-3</c:v>
                </c:pt>
                <c:pt idx="2">
                  <c:v>1.6E-2</c:v>
                </c:pt>
                <c:pt idx="3">
                  <c:v>2.4E-2</c:v>
                </c:pt>
                <c:pt idx="4">
                  <c:v>3.2000000000000001E-2</c:v>
                </c:pt>
                <c:pt idx="5">
                  <c:v>0.04</c:v>
                </c:pt>
                <c:pt idx="6">
                  <c:v>4.8000000000000001E-2</c:v>
                </c:pt>
                <c:pt idx="7">
                  <c:v>5.6000000000000001E-2</c:v>
                </c:pt>
                <c:pt idx="8">
                  <c:v>6.4000000000000001E-2</c:v>
                </c:pt>
                <c:pt idx="9">
                  <c:v>7.1999999999999995E-2</c:v>
                </c:pt>
                <c:pt idx="10">
                  <c:v>0.08</c:v>
                </c:pt>
                <c:pt idx="11">
                  <c:v>8.7999999999999995E-2</c:v>
                </c:pt>
                <c:pt idx="12">
                  <c:v>9.6000000000000002E-2</c:v>
                </c:pt>
                <c:pt idx="13">
                  <c:v>0.104</c:v>
                </c:pt>
                <c:pt idx="14">
                  <c:v>0.112</c:v>
                </c:pt>
                <c:pt idx="15">
                  <c:v>0.12</c:v>
                </c:pt>
                <c:pt idx="16">
                  <c:v>0.128</c:v>
                </c:pt>
                <c:pt idx="17">
                  <c:v>0.13600000000000001</c:v>
                </c:pt>
                <c:pt idx="18">
                  <c:v>0.14399999999999999</c:v>
                </c:pt>
                <c:pt idx="19">
                  <c:v>0.152</c:v>
                </c:pt>
                <c:pt idx="20">
                  <c:v>0.16</c:v>
                </c:pt>
                <c:pt idx="21">
                  <c:v>0.16800000000000001</c:v>
                </c:pt>
                <c:pt idx="22">
                  <c:v>0.17599999999999999</c:v>
                </c:pt>
                <c:pt idx="23">
                  <c:v>0.184</c:v>
                </c:pt>
                <c:pt idx="24">
                  <c:v>0.192</c:v>
                </c:pt>
                <c:pt idx="25">
                  <c:v>0.2</c:v>
                </c:pt>
              </c:numCache>
            </c:numRef>
          </c:xVal>
          <c:yVal>
            <c:numRef>
              <c:f>'2 profils'!$B$31:$B$56</c:f>
              <c:numCache>
                <c:formatCode>0.00</c:formatCode>
                <c:ptCount val="26"/>
                <c:pt idx="0">
                  <c:v>-0.44074081175205038</c:v>
                </c:pt>
                <c:pt idx="1">
                  <c:v>-0.60323921493989019</c:v>
                </c:pt>
                <c:pt idx="2">
                  <c:v>-0.73739581675847532</c:v>
                </c:pt>
                <c:pt idx="3">
                  <c:v>-0.82692525701906661</c:v>
                </c:pt>
                <c:pt idx="4">
                  <c:v>-0.8666237049392933</c:v>
                </c:pt>
                <c:pt idx="5">
                  <c:v>-0.86424482990313933</c:v>
                </c:pt>
                <c:pt idx="6">
                  <c:v>-0.83395705605819614</c:v>
                </c:pt>
                <c:pt idx="7">
                  <c:v>-0.78928877519903651</c:v>
                </c:pt>
                <c:pt idx="8">
                  <c:v>-0.73941705082654252</c:v>
                </c:pt>
                <c:pt idx="9">
                  <c:v>-0.68969594303834292</c:v>
                </c:pt>
                <c:pt idx="10">
                  <c:v>-0.64276858660119807</c:v>
                </c:pt>
                <c:pt idx="11">
                  <c:v>-0.59969838330829894</c:v>
                </c:pt>
                <c:pt idx="12">
                  <c:v>-0.56071867389896823</c:v>
                </c:pt>
                <c:pt idx="13">
                  <c:v>-0.52566500634723923</c:v>
                </c:pt>
                <c:pt idx="14">
                  <c:v>-0.4942061160335891</c:v>
                </c:pt>
                <c:pt idx="15">
                  <c:v>-0.46596077312844919</c:v>
                </c:pt>
                <c:pt idx="16">
                  <c:v>-0.44055348830913754</c:v>
                </c:pt>
                <c:pt idx="17">
                  <c:v>-0.41763860796240326</c:v>
                </c:pt>
                <c:pt idx="18">
                  <c:v>-0.39690857728291284</c:v>
                </c:pt>
                <c:pt idx="19">
                  <c:v>-0.37806993196525784</c:v>
                </c:pt>
                <c:pt idx="20">
                  <c:v>-0.36094346502768193</c:v>
                </c:pt>
                <c:pt idx="21">
                  <c:v>-0.3452988109573436</c:v>
                </c:pt>
                <c:pt idx="22">
                  <c:v>-0.33096339474948344</c:v>
                </c:pt>
                <c:pt idx="23">
                  <c:v>-0.31778851466784896</c:v>
                </c:pt>
                <c:pt idx="24">
                  <c:v>-0.30564582058684486</c:v>
                </c:pt>
                <c:pt idx="25">
                  <c:v>-0.29442425782223935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A-43C1-849A-38496AE77839}"/>
            </c:ext>
          </c:extLst>
        </c:ser>
        <c:ser>
          <c:idx val="1"/>
          <c:order val="1"/>
          <c:tx>
            <c:strRef>
              <c:f>'2 profils'!$C$30</c:f>
              <c:strCache>
                <c:ptCount val="1"/>
                <c:pt idx="0">
                  <c:v>écart Ultimate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 profils'!$A$31:$A$56</c:f>
              <c:numCache>
                <c:formatCode>0.0%</c:formatCode>
                <c:ptCount val="26"/>
                <c:pt idx="0">
                  <c:v>0</c:v>
                </c:pt>
                <c:pt idx="1">
                  <c:v>8.0000000000000002E-3</c:v>
                </c:pt>
                <c:pt idx="2">
                  <c:v>1.6E-2</c:v>
                </c:pt>
                <c:pt idx="3">
                  <c:v>2.4E-2</c:v>
                </c:pt>
                <c:pt idx="4">
                  <c:v>3.2000000000000001E-2</c:v>
                </c:pt>
                <c:pt idx="5">
                  <c:v>0.04</c:v>
                </c:pt>
                <c:pt idx="6">
                  <c:v>4.8000000000000001E-2</c:v>
                </c:pt>
                <c:pt idx="7">
                  <c:v>5.6000000000000001E-2</c:v>
                </c:pt>
                <c:pt idx="8">
                  <c:v>6.4000000000000001E-2</c:v>
                </c:pt>
                <c:pt idx="9">
                  <c:v>7.1999999999999995E-2</c:v>
                </c:pt>
                <c:pt idx="10">
                  <c:v>0.08</c:v>
                </c:pt>
                <c:pt idx="11">
                  <c:v>8.7999999999999995E-2</c:v>
                </c:pt>
                <c:pt idx="12">
                  <c:v>9.6000000000000002E-2</c:v>
                </c:pt>
                <c:pt idx="13">
                  <c:v>0.104</c:v>
                </c:pt>
                <c:pt idx="14">
                  <c:v>0.112</c:v>
                </c:pt>
                <c:pt idx="15">
                  <c:v>0.12</c:v>
                </c:pt>
                <c:pt idx="16">
                  <c:v>0.128</c:v>
                </c:pt>
                <c:pt idx="17">
                  <c:v>0.13600000000000001</c:v>
                </c:pt>
                <c:pt idx="18">
                  <c:v>0.14399999999999999</c:v>
                </c:pt>
                <c:pt idx="19">
                  <c:v>0.152</c:v>
                </c:pt>
                <c:pt idx="20">
                  <c:v>0.16</c:v>
                </c:pt>
                <c:pt idx="21">
                  <c:v>0.16800000000000001</c:v>
                </c:pt>
                <c:pt idx="22">
                  <c:v>0.17599999999999999</c:v>
                </c:pt>
                <c:pt idx="23">
                  <c:v>0.184</c:v>
                </c:pt>
                <c:pt idx="24">
                  <c:v>0.192</c:v>
                </c:pt>
                <c:pt idx="25">
                  <c:v>0.2</c:v>
                </c:pt>
              </c:numCache>
            </c:numRef>
          </c:xVal>
          <c:yVal>
            <c:numRef>
              <c:f>'2 profils'!$C$31:$C$56</c:f>
              <c:numCache>
                <c:formatCode>0.00</c:formatCode>
                <c:ptCount val="26"/>
                <c:pt idx="0">
                  <c:v>-1.2655586256954194</c:v>
                </c:pt>
                <c:pt idx="1">
                  <c:v>-0.98122306045961949</c:v>
                </c:pt>
                <c:pt idx="2">
                  <c:v>-0.72244754033596337</c:v>
                </c:pt>
                <c:pt idx="3">
                  <c:v>-0.50527770609007661</c:v>
                </c:pt>
                <c:pt idx="4">
                  <c:v>-0.33826499263911813</c:v>
                </c:pt>
                <c:pt idx="5">
                  <c:v>-0.21946809188724359</c:v>
                </c:pt>
                <c:pt idx="6">
                  <c:v>-0.13965731578620222</c:v>
                </c:pt>
                <c:pt idx="7">
                  <c:v>-8.7810227336539981E-2</c:v>
                </c:pt>
                <c:pt idx="8">
                  <c:v>-5.4575944053500081E-2</c:v>
                </c:pt>
                <c:pt idx="9">
                  <c:v>-3.3273700266553519E-2</c:v>
                </c:pt>
                <c:pt idx="10">
                  <c:v>-1.9516352794399339E-2</c:v>
                </c:pt>
                <c:pt idx="11">
                  <c:v>-1.0535047063704894E-2</c:v>
                </c:pt>
                <c:pt idx="12">
                  <c:v>-4.6055824025881265E-3</c:v>
                </c:pt>
                <c:pt idx="13">
                  <c:v>-6.5250215974366199E-4</c:v>
                </c:pt>
                <c:pt idx="14">
                  <c:v>2.0013934985652071E-3</c:v>
                </c:pt>
                <c:pt idx="15">
                  <c:v>3.7884222264583656E-3</c:v>
                </c:pt>
                <c:pt idx="16">
                  <c:v>4.9888589982325371E-3</c:v>
                </c:pt>
                <c:pt idx="17">
                  <c:v>5.7873002319048794E-3</c:v>
                </c:pt>
                <c:pt idx="18">
                  <c:v>6.307211367043486E-3</c:v>
                </c:pt>
                <c:pt idx="19">
                  <c:v>6.6323817419320363E-3</c:v>
                </c:pt>
                <c:pt idx="20">
                  <c:v>6.8204468868033885E-3</c:v>
                </c:pt>
                <c:pt idx="21">
                  <c:v>6.9115429192248001E-3</c:v>
                </c:pt>
                <c:pt idx="22">
                  <c:v>6.9339306432771863E-3</c:v>
                </c:pt>
                <c:pt idx="23">
                  <c:v>6.9077049754859843E-3</c:v>
                </c:pt>
                <c:pt idx="24">
                  <c:v>6.8472764567575339E-3</c:v>
                </c:pt>
                <c:pt idx="25">
                  <c:v>6.7630537489318243E-3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1A-43C1-849A-38496AE77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28511"/>
        <c:axId val="657542911"/>
      </c:scatterChart>
      <c:valAx>
        <c:axId val="657528511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7542911"/>
        <c:crosses val="autoZero"/>
        <c:crossBetween val="midCat"/>
      </c:valAx>
      <c:valAx>
        <c:axId val="65754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7528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Différence temps de montée en fonction de la pente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'temps de montée'!$L$2</c:f>
              <c:strCache>
                <c:ptCount val="1"/>
                <c:pt idx="0">
                  <c:v>différence Tps Rose - Aeroad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'temps de montée'!$A$4:$A$28</c:f>
              <c:numCache>
                <c:formatCode>0.0%</c:formatCode>
                <c:ptCount val="25"/>
                <c:pt idx="0">
                  <c:v>8.9999999999999993E-3</c:v>
                </c:pt>
                <c:pt idx="1">
                  <c:v>1.7000000000000001E-2</c:v>
                </c:pt>
                <c:pt idx="2">
                  <c:v>2.5000000000000001E-2</c:v>
                </c:pt>
                <c:pt idx="3">
                  <c:v>3.3000000000000002E-2</c:v>
                </c:pt>
                <c:pt idx="4">
                  <c:v>4.1000000000000002E-2</c:v>
                </c:pt>
                <c:pt idx="5">
                  <c:v>4.9000000000000002E-2</c:v>
                </c:pt>
                <c:pt idx="6">
                  <c:v>5.7000000000000002E-2</c:v>
                </c:pt>
                <c:pt idx="7">
                  <c:v>6.5000000000000002E-2</c:v>
                </c:pt>
                <c:pt idx="8">
                  <c:v>7.2999999999999995E-2</c:v>
                </c:pt>
                <c:pt idx="9">
                  <c:v>8.1000000000000003E-2</c:v>
                </c:pt>
                <c:pt idx="10">
                  <c:v>8.8999999999999996E-2</c:v>
                </c:pt>
                <c:pt idx="11">
                  <c:v>9.7000000000000003E-2</c:v>
                </c:pt>
                <c:pt idx="12">
                  <c:v>0.105</c:v>
                </c:pt>
                <c:pt idx="13">
                  <c:v>0.113</c:v>
                </c:pt>
                <c:pt idx="14">
                  <c:v>0.121</c:v>
                </c:pt>
                <c:pt idx="15">
                  <c:v>0.129</c:v>
                </c:pt>
                <c:pt idx="16">
                  <c:v>0.13700000000000001</c:v>
                </c:pt>
                <c:pt idx="17">
                  <c:v>0.14499999999999999</c:v>
                </c:pt>
                <c:pt idx="18">
                  <c:v>0.153</c:v>
                </c:pt>
                <c:pt idx="19">
                  <c:v>0.161</c:v>
                </c:pt>
                <c:pt idx="20">
                  <c:v>0.16900000000000001</c:v>
                </c:pt>
                <c:pt idx="21">
                  <c:v>0.17699999999999999</c:v>
                </c:pt>
                <c:pt idx="22">
                  <c:v>0.185</c:v>
                </c:pt>
                <c:pt idx="23">
                  <c:v>0.193</c:v>
                </c:pt>
                <c:pt idx="24">
                  <c:v>0.20100000000000001</c:v>
                </c:pt>
              </c:numCache>
            </c:numRef>
          </c:xVal>
          <c:yVal>
            <c:numRef>
              <c:f>'temps de montée'!$L$4:$L$28</c:f>
              <c:numCache>
                <c:formatCode>0.00</c:formatCode>
                <c:ptCount val="25"/>
                <c:pt idx="0">
                  <c:v>7.5091522809878075E-3</c:v>
                </c:pt>
                <c:pt idx="1">
                  <c:v>6.1729916779395544E-3</c:v>
                </c:pt>
                <c:pt idx="2">
                  <c:v>6.0512310521796953E-3</c:v>
                </c:pt>
                <c:pt idx="3">
                  <c:v>6.1934049203347663E-3</c:v>
                </c:pt>
                <c:pt idx="4">
                  <c:v>6.3736002216459309E-3</c:v>
                </c:pt>
                <c:pt idx="5">
                  <c:v>6.5259388459972256E-3</c:v>
                </c:pt>
                <c:pt idx="6">
                  <c:v>6.6368813059078657E-3</c:v>
                </c:pt>
                <c:pt idx="7">
                  <c:v>6.7129894279417957E-3</c:v>
                </c:pt>
                <c:pt idx="8">
                  <c:v>6.7626364107163939E-3</c:v>
                </c:pt>
                <c:pt idx="9">
                  <c:v>6.793864676532993E-3</c:v>
                </c:pt>
                <c:pt idx="10">
                  <c:v>6.8126466190177454E-3</c:v>
                </c:pt>
                <c:pt idx="11">
                  <c:v>6.8231298355911629E-3</c:v>
                </c:pt>
                <c:pt idx="12">
                  <c:v>6.8281155173096769E-3</c:v>
                </c:pt>
                <c:pt idx="13">
                  <c:v>6.8299300542598307E-3</c:v>
                </c:pt>
                <c:pt idx="14">
                  <c:v>6.8288477952984372E-3</c:v>
                </c:pt>
                <c:pt idx="15">
                  <c:v>6.8262440040461891E-3</c:v>
                </c:pt>
                <c:pt idx="16">
                  <c:v>6.8226797198155942E-3</c:v>
                </c:pt>
                <c:pt idx="17">
                  <c:v>6.8185334268906495E-3</c:v>
                </c:pt>
                <c:pt idx="18">
                  <c:v>6.8140610718651906E-3</c:v>
                </c:pt>
                <c:pt idx="19">
                  <c:v>6.8094357345067358E-3</c:v>
                </c:pt>
                <c:pt idx="20">
                  <c:v>6.8047740464686479E-3</c:v>
                </c:pt>
                <c:pt idx="21">
                  <c:v>6.8001539351410373E-3</c:v>
                </c:pt>
                <c:pt idx="22">
                  <c:v>6.7956266460335174E-3</c:v>
                </c:pt>
                <c:pt idx="23">
                  <c:v>6.7912249584004131E-3</c:v>
                </c:pt>
                <c:pt idx="24">
                  <c:v>6.7869688445772458E-3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7A-4724-8598-DD60F27181BF}"/>
            </c:ext>
          </c:extLst>
        </c:ser>
        <c:ser>
          <c:idx val="1"/>
          <c:order val="1"/>
          <c:tx>
            <c:strRef>
              <c:f>'temps de montée'!$M$2</c:f>
              <c:strCache>
                <c:ptCount val="1"/>
                <c:pt idx="0">
                  <c:v>différence Tps Ultimate - Aeroad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'temps de montée'!$A$4:$A$28</c:f>
              <c:numCache>
                <c:formatCode>0.0%</c:formatCode>
                <c:ptCount val="25"/>
                <c:pt idx="0">
                  <c:v>8.9999999999999993E-3</c:v>
                </c:pt>
                <c:pt idx="1">
                  <c:v>1.7000000000000001E-2</c:v>
                </c:pt>
                <c:pt idx="2">
                  <c:v>2.5000000000000001E-2</c:v>
                </c:pt>
                <c:pt idx="3">
                  <c:v>3.3000000000000002E-2</c:v>
                </c:pt>
                <c:pt idx="4">
                  <c:v>4.1000000000000002E-2</c:v>
                </c:pt>
                <c:pt idx="5">
                  <c:v>4.9000000000000002E-2</c:v>
                </c:pt>
                <c:pt idx="6">
                  <c:v>5.7000000000000002E-2</c:v>
                </c:pt>
                <c:pt idx="7">
                  <c:v>6.5000000000000002E-2</c:v>
                </c:pt>
                <c:pt idx="8">
                  <c:v>7.2999999999999995E-2</c:v>
                </c:pt>
                <c:pt idx="9">
                  <c:v>8.1000000000000003E-2</c:v>
                </c:pt>
                <c:pt idx="10">
                  <c:v>8.8999999999999996E-2</c:v>
                </c:pt>
                <c:pt idx="11">
                  <c:v>9.7000000000000003E-2</c:v>
                </c:pt>
                <c:pt idx="12">
                  <c:v>0.105</c:v>
                </c:pt>
                <c:pt idx="13">
                  <c:v>0.113</c:v>
                </c:pt>
                <c:pt idx="14">
                  <c:v>0.121</c:v>
                </c:pt>
                <c:pt idx="15">
                  <c:v>0.129</c:v>
                </c:pt>
                <c:pt idx="16">
                  <c:v>0.13700000000000001</c:v>
                </c:pt>
                <c:pt idx="17">
                  <c:v>0.14499999999999999</c:v>
                </c:pt>
                <c:pt idx="18">
                  <c:v>0.153</c:v>
                </c:pt>
                <c:pt idx="19">
                  <c:v>0.161</c:v>
                </c:pt>
                <c:pt idx="20">
                  <c:v>0.16900000000000001</c:v>
                </c:pt>
                <c:pt idx="21">
                  <c:v>0.17699999999999999</c:v>
                </c:pt>
                <c:pt idx="22">
                  <c:v>0.185</c:v>
                </c:pt>
                <c:pt idx="23">
                  <c:v>0.193</c:v>
                </c:pt>
                <c:pt idx="24">
                  <c:v>0.20100000000000001</c:v>
                </c:pt>
              </c:numCache>
            </c:numRef>
          </c:xVal>
          <c:yVal>
            <c:numRef>
              <c:f>'temps de montée'!$M$4:$M$28</c:f>
              <c:numCache>
                <c:formatCode>0.00</c:formatCode>
                <c:ptCount val="25"/>
                <c:pt idx="0">
                  <c:v>1.1560081997211258E-2</c:v>
                </c:pt>
                <c:pt idx="1">
                  <c:v>5.6795914506757861E-3</c:v>
                </c:pt>
                <c:pt idx="2">
                  <c:v>3.4393682205494935E-3</c:v>
                </c:pt>
                <c:pt idx="3">
                  <c:v>2.2287334695958172E-3</c:v>
                </c:pt>
                <c:pt idx="4">
                  <c:v>1.4808699766483691E-3</c:v>
                </c:pt>
                <c:pt idx="5">
                  <c:v>9.9438466316567609E-4</c:v>
                </c:pt>
                <c:pt idx="6">
                  <c:v>6.6854714046245267E-4</c:v>
                </c:pt>
                <c:pt idx="7">
                  <c:v>4.4642691610721763E-4</c:v>
                </c:pt>
                <c:pt idx="8">
                  <c:v>2.9218850792057938E-4</c:v>
                </c:pt>
                <c:pt idx="9">
                  <c:v>1.830381650953089E-4</c:v>
                </c:pt>
                <c:pt idx="10">
                  <c:v>1.0431244049875776E-4</c:v>
                </c:pt>
                <c:pt idx="11">
                  <c:v>4.6471491097030415E-5</c:v>
                </c:pt>
                <c:pt idx="12">
                  <c:v>3.223703745919293E-6</c:v>
                </c:pt>
                <c:pt idx="13">
                  <c:v>-2.919230220649327E-5</c:v>
                </c:pt>
                <c:pt idx="14">
                  <c:v>-5.4623722889876603E-5</c:v>
                </c:pt>
                <c:pt idx="15">
                  <c:v>-7.4521283766657009E-5</c:v>
                </c:pt>
                <c:pt idx="16">
                  <c:v>-9.0287216607781717E-5</c:v>
                </c:pt>
                <c:pt idx="17">
                  <c:v>-1.0292469346029343E-4</c:v>
                </c:pt>
                <c:pt idx="18">
                  <c:v>-1.131621900125751E-4</c:v>
                </c:pt>
                <c:pt idx="19">
                  <c:v>-1.215361879816218E-4</c:v>
                </c:pt>
                <c:pt idx="20">
                  <c:v>-1.2844700570709133E-4</c:v>
                </c:pt>
                <c:pt idx="21">
                  <c:v>-1.3419704683984013E-4</c:v>
                </c:pt>
                <c:pt idx="22">
                  <c:v>-1.3901737853845575E-4</c:v>
                </c:pt>
                <c:pt idx="23">
                  <c:v>-1.4308645236449369E-4</c:v>
                </c:pt>
                <c:pt idx="24">
                  <c:v>-1.4654346179629463E-4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7A-4724-8598-DD60F2718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007423"/>
        <c:axId val="1703001663"/>
      </c:scatterChart>
      <c:valAx>
        <c:axId val="170300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3001663"/>
        <c:crosses val="autoZero"/>
        <c:crossBetween val="midCat"/>
      </c:valAx>
      <c:valAx>
        <c:axId val="1703001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3007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Différence</a:t>
            </a:r>
            <a:r>
              <a:rPr lang="fr-FR" baseline="0"/>
              <a:t> de vitesse en fonction de la pente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'temps de montée'!$N$2</c:f>
              <c:strCache>
                <c:ptCount val="1"/>
                <c:pt idx="0">
                  <c:v>différence Vitesse Rose - Aeroad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'temps de montée'!$A$3:$A$28</c:f>
              <c:numCache>
                <c:formatCode>0.0%</c:formatCode>
                <c:ptCount val="26"/>
                <c:pt idx="0">
                  <c:v>1E-3</c:v>
                </c:pt>
                <c:pt idx="1">
                  <c:v>8.9999999999999993E-3</c:v>
                </c:pt>
                <c:pt idx="2">
                  <c:v>1.7000000000000001E-2</c:v>
                </c:pt>
                <c:pt idx="3">
                  <c:v>2.5000000000000001E-2</c:v>
                </c:pt>
                <c:pt idx="4">
                  <c:v>3.3000000000000002E-2</c:v>
                </c:pt>
                <c:pt idx="5">
                  <c:v>4.1000000000000002E-2</c:v>
                </c:pt>
                <c:pt idx="6">
                  <c:v>4.9000000000000002E-2</c:v>
                </c:pt>
                <c:pt idx="7">
                  <c:v>5.7000000000000002E-2</c:v>
                </c:pt>
                <c:pt idx="8">
                  <c:v>6.5000000000000002E-2</c:v>
                </c:pt>
                <c:pt idx="9">
                  <c:v>7.2999999999999995E-2</c:v>
                </c:pt>
                <c:pt idx="10">
                  <c:v>8.1000000000000003E-2</c:v>
                </c:pt>
                <c:pt idx="11">
                  <c:v>8.8999999999999996E-2</c:v>
                </c:pt>
                <c:pt idx="12">
                  <c:v>9.7000000000000003E-2</c:v>
                </c:pt>
                <c:pt idx="13">
                  <c:v>0.105</c:v>
                </c:pt>
                <c:pt idx="14">
                  <c:v>0.113</c:v>
                </c:pt>
                <c:pt idx="15">
                  <c:v>0.121</c:v>
                </c:pt>
                <c:pt idx="16">
                  <c:v>0.129</c:v>
                </c:pt>
                <c:pt idx="17">
                  <c:v>0.13700000000000001</c:v>
                </c:pt>
                <c:pt idx="18">
                  <c:v>0.14499999999999999</c:v>
                </c:pt>
                <c:pt idx="19">
                  <c:v>0.153</c:v>
                </c:pt>
                <c:pt idx="20">
                  <c:v>0.161</c:v>
                </c:pt>
                <c:pt idx="21">
                  <c:v>0.16900000000000001</c:v>
                </c:pt>
                <c:pt idx="22">
                  <c:v>0.17699999999999999</c:v>
                </c:pt>
                <c:pt idx="23">
                  <c:v>0.185</c:v>
                </c:pt>
                <c:pt idx="24">
                  <c:v>0.193</c:v>
                </c:pt>
                <c:pt idx="25">
                  <c:v>0.20100000000000001</c:v>
                </c:pt>
              </c:numCache>
            </c:numRef>
          </c:xVal>
          <c:yVal>
            <c:numRef>
              <c:f>'temps de montée'!$N$3:$N$28</c:f>
              <c:numCache>
                <c:formatCode>0.00</c:formatCode>
                <c:ptCount val="26"/>
                <c:pt idx="0">
                  <c:v>-0.46194840158311479</c:v>
                </c:pt>
                <c:pt idx="1">
                  <c:v>-0.62196025794847998</c:v>
                </c:pt>
                <c:pt idx="2">
                  <c:v>-0.75127109359535993</c:v>
                </c:pt>
                <c:pt idx="3">
                  <c:v>-0.83456444987466227</c:v>
                </c:pt>
                <c:pt idx="4">
                  <c:v>-0.86842359046272932</c:v>
                </c:pt>
                <c:pt idx="5">
                  <c:v>-0.86168671829064181</c:v>
                </c:pt>
                <c:pt idx="6">
                  <c:v>-0.82899552846347291</c:v>
                </c:pt>
                <c:pt idx="7">
                  <c:v>-0.78317688225412674</c:v>
                </c:pt>
                <c:pt idx="8">
                  <c:v>-0.73310724839728714</c:v>
                </c:pt>
                <c:pt idx="9">
                  <c:v>-0.68363730414434087</c:v>
                </c:pt>
                <c:pt idx="10">
                  <c:v>-0.63715938740732447</c:v>
                </c:pt>
                <c:pt idx="11">
                  <c:v>-0.59460060464470388</c:v>
                </c:pt>
                <c:pt idx="12">
                  <c:v>-0.55612660908032296</c:v>
                </c:pt>
                <c:pt idx="13">
                  <c:v>-0.5215427737473739</c:v>
                </c:pt>
                <c:pt idx="14">
                  <c:v>-0.49054160371010536</c:v>
                </c:pt>
                <c:pt idx="15">
                  <c:v>-0.46266423908452214</c:v>
                </c:pt>
                <c:pt idx="16">
                  <c:v>-0.43758139248441097</c:v>
                </c:pt>
                <c:pt idx="17">
                  <c:v>-0.41495154217841179</c:v>
                </c:pt>
                <c:pt idx="18">
                  <c:v>-0.39447174923770145</c:v>
                </c:pt>
                <c:pt idx="19">
                  <c:v>-0.3758777018704258</c:v>
                </c:pt>
                <c:pt idx="20">
                  <c:v>-0.35894074026073497</c:v>
                </c:pt>
                <c:pt idx="21">
                  <c:v>-0.34346380234404528</c:v>
                </c:pt>
                <c:pt idx="22">
                  <c:v>-0.32927722599412412</c:v>
                </c:pt>
                <c:pt idx="23">
                  <c:v>-0.31623482799011526</c:v>
                </c:pt>
                <c:pt idx="24">
                  <c:v>-0.30421042050451952</c:v>
                </c:pt>
                <c:pt idx="25">
                  <c:v>-0.29309479898819468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58-4E1A-9B37-B1943FC587EF}"/>
            </c:ext>
          </c:extLst>
        </c:ser>
        <c:ser>
          <c:idx val="1"/>
          <c:order val="1"/>
          <c:tx>
            <c:strRef>
              <c:f>'temps de montée'!$O$2</c:f>
              <c:strCache>
                <c:ptCount val="1"/>
                <c:pt idx="0">
                  <c:v>différence Vitesse Ultimate - Aeroad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'temps de montée'!$A$3:$A$28</c:f>
              <c:numCache>
                <c:formatCode>0.0%</c:formatCode>
                <c:ptCount val="26"/>
                <c:pt idx="0">
                  <c:v>1E-3</c:v>
                </c:pt>
                <c:pt idx="1">
                  <c:v>8.9999999999999993E-3</c:v>
                </c:pt>
                <c:pt idx="2">
                  <c:v>1.7000000000000001E-2</c:v>
                </c:pt>
                <c:pt idx="3">
                  <c:v>2.5000000000000001E-2</c:v>
                </c:pt>
                <c:pt idx="4">
                  <c:v>3.3000000000000002E-2</c:v>
                </c:pt>
                <c:pt idx="5">
                  <c:v>4.1000000000000002E-2</c:v>
                </c:pt>
                <c:pt idx="6">
                  <c:v>4.9000000000000002E-2</c:v>
                </c:pt>
                <c:pt idx="7">
                  <c:v>5.7000000000000002E-2</c:v>
                </c:pt>
                <c:pt idx="8">
                  <c:v>6.5000000000000002E-2</c:v>
                </c:pt>
                <c:pt idx="9">
                  <c:v>7.2999999999999995E-2</c:v>
                </c:pt>
                <c:pt idx="10">
                  <c:v>8.1000000000000003E-2</c:v>
                </c:pt>
                <c:pt idx="11">
                  <c:v>8.8999999999999996E-2</c:v>
                </c:pt>
                <c:pt idx="12">
                  <c:v>9.7000000000000003E-2</c:v>
                </c:pt>
                <c:pt idx="13">
                  <c:v>0.105</c:v>
                </c:pt>
                <c:pt idx="14">
                  <c:v>0.113</c:v>
                </c:pt>
                <c:pt idx="15">
                  <c:v>0.121</c:v>
                </c:pt>
                <c:pt idx="16">
                  <c:v>0.129</c:v>
                </c:pt>
                <c:pt idx="17">
                  <c:v>0.13700000000000001</c:v>
                </c:pt>
                <c:pt idx="18">
                  <c:v>0.14499999999999999</c:v>
                </c:pt>
                <c:pt idx="19">
                  <c:v>0.153</c:v>
                </c:pt>
                <c:pt idx="20">
                  <c:v>0.161</c:v>
                </c:pt>
                <c:pt idx="21">
                  <c:v>0.16900000000000001</c:v>
                </c:pt>
                <c:pt idx="22">
                  <c:v>0.17699999999999999</c:v>
                </c:pt>
                <c:pt idx="23">
                  <c:v>0.185</c:v>
                </c:pt>
                <c:pt idx="24">
                  <c:v>0.193</c:v>
                </c:pt>
                <c:pt idx="25">
                  <c:v>0.20100000000000001</c:v>
                </c:pt>
              </c:numCache>
            </c:numRef>
          </c:xVal>
          <c:yVal>
            <c:numRef>
              <c:f>'temps de montée'!$O$3:$O$28</c:f>
              <c:numCache>
                <c:formatCode>0.00</c:formatCode>
                <c:ptCount val="26"/>
                <c:pt idx="0">
                  <c:v>-1.2292226543139861</c:v>
                </c:pt>
                <c:pt idx="1">
                  <c:v>-0.94711820394645585</c:v>
                </c:pt>
                <c:pt idx="2">
                  <c:v>-0.6927557918346352</c:v>
                </c:pt>
                <c:pt idx="3">
                  <c:v>-0.48160047061866962</c:v>
                </c:pt>
                <c:pt idx="4">
                  <c:v>-0.32098124159237429</c:v>
                </c:pt>
                <c:pt idx="5">
                  <c:v>-0.20758962676243087</c:v>
                </c:pt>
                <c:pt idx="6">
                  <c:v>-0.13192536228353546</c:v>
                </c:pt>
                <c:pt idx="7">
                  <c:v>-8.2833687478895968E-2</c:v>
                </c:pt>
                <c:pt idx="8">
                  <c:v>-5.1387864866178745E-2</c:v>
                </c:pt>
                <c:pt idx="9">
                  <c:v>-3.1220980316597036E-2</c:v>
                </c:pt>
                <c:pt idx="10">
                  <c:v>-1.8181578090331385E-2</c:v>
                </c:pt>
                <c:pt idx="11">
                  <c:v>-9.6573159600286118E-3</c:v>
                </c:pt>
                <c:pt idx="12">
                  <c:v>-4.0223012884297304E-3</c:v>
                </c:pt>
                <c:pt idx="13">
                  <c:v>-2.6170451933538175E-4</c:v>
                </c:pt>
                <c:pt idx="14">
                  <c:v>2.2298650796770403E-3</c:v>
                </c:pt>
                <c:pt idx="15">
                  <c:v>3.9379606079279483E-3</c:v>
                </c:pt>
                <c:pt idx="16">
                  <c:v>5.0851436008461093E-3</c:v>
                </c:pt>
                <c:pt idx="17">
                  <c:v>5.8472767501980272E-3</c:v>
                </c:pt>
                <c:pt idx="18">
                  <c:v>6.3422271617774584E-3</c:v>
                </c:pt>
                <c:pt idx="19">
                  <c:v>6.6501389610511552E-3</c:v>
                </c:pt>
                <c:pt idx="20">
                  <c:v>6.8262380069867845E-3</c:v>
                </c:pt>
                <c:pt idx="21">
                  <c:v>6.9090445201238637E-3</c:v>
                </c:pt>
                <c:pt idx="22">
                  <c:v>6.9257211081863446E-3</c:v>
                </c:pt>
                <c:pt idx="23">
                  <c:v>6.8956070428649596E-3</c:v>
                </c:pt>
                <c:pt idx="24">
                  <c:v>6.8325869963254959E-3</c:v>
                </c:pt>
                <c:pt idx="25">
                  <c:v>6.7466998802450107E-3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58-4E1A-9B37-B1943FC587EF}"/>
            </c:ext>
          </c:extLst>
        </c:ser>
        <c:ser>
          <c:idx val="2"/>
          <c:order val="2"/>
          <c:tx>
            <c:strRef>
              <c:f>'temps de montée'!$P$2</c:f>
              <c:strCache>
                <c:ptCount val="1"/>
                <c:pt idx="0">
                  <c:v>différence Vitesse Ultimate - Rose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'temps de montée'!$A$3:$A$28</c:f>
              <c:numCache>
                <c:formatCode>0.0%</c:formatCode>
                <c:ptCount val="26"/>
                <c:pt idx="0">
                  <c:v>1E-3</c:v>
                </c:pt>
                <c:pt idx="1">
                  <c:v>8.9999999999999993E-3</c:v>
                </c:pt>
                <c:pt idx="2">
                  <c:v>1.7000000000000001E-2</c:v>
                </c:pt>
                <c:pt idx="3">
                  <c:v>2.5000000000000001E-2</c:v>
                </c:pt>
                <c:pt idx="4">
                  <c:v>3.3000000000000002E-2</c:v>
                </c:pt>
                <c:pt idx="5">
                  <c:v>4.1000000000000002E-2</c:v>
                </c:pt>
                <c:pt idx="6">
                  <c:v>4.9000000000000002E-2</c:v>
                </c:pt>
                <c:pt idx="7">
                  <c:v>5.7000000000000002E-2</c:v>
                </c:pt>
                <c:pt idx="8">
                  <c:v>6.5000000000000002E-2</c:v>
                </c:pt>
                <c:pt idx="9">
                  <c:v>7.2999999999999995E-2</c:v>
                </c:pt>
                <c:pt idx="10">
                  <c:v>8.1000000000000003E-2</c:v>
                </c:pt>
                <c:pt idx="11">
                  <c:v>8.8999999999999996E-2</c:v>
                </c:pt>
                <c:pt idx="12">
                  <c:v>9.7000000000000003E-2</c:v>
                </c:pt>
                <c:pt idx="13">
                  <c:v>0.105</c:v>
                </c:pt>
                <c:pt idx="14">
                  <c:v>0.113</c:v>
                </c:pt>
                <c:pt idx="15">
                  <c:v>0.121</c:v>
                </c:pt>
                <c:pt idx="16">
                  <c:v>0.129</c:v>
                </c:pt>
                <c:pt idx="17">
                  <c:v>0.13700000000000001</c:v>
                </c:pt>
                <c:pt idx="18">
                  <c:v>0.14499999999999999</c:v>
                </c:pt>
                <c:pt idx="19">
                  <c:v>0.153</c:v>
                </c:pt>
                <c:pt idx="20">
                  <c:v>0.161</c:v>
                </c:pt>
                <c:pt idx="21">
                  <c:v>0.16900000000000001</c:v>
                </c:pt>
                <c:pt idx="22">
                  <c:v>0.17699999999999999</c:v>
                </c:pt>
                <c:pt idx="23">
                  <c:v>0.185</c:v>
                </c:pt>
                <c:pt idx="24">
                  <c:v>0.193</c:v>
                </c:pt>
                <c:pt idx="25">
                  <c:v>0.20100000000000001</c:v>
                </c:pt>
              </c:numCache>
            </c:numRef>
          </c:xVal>
          <c:yVal>
            <c:numRef>
              <c:f>'temps de montée'!$P$3:$P$28</c:f>
              <c:numCache>
                <c:formatCode>0.00</c:formatCode>
                <c:ptCount val="26"/>
                <c:pt idx="0">
                  <c:v>-0.76727425273087135</c:v>
                </c:pt>
                <c:pt idx="1">
                  <c:v>-0.32515794599797587</c:v>
                </c:pt>
                <c:pt idx="2">
                  <c:v>5.8515301760724725E-2</c:v>
                </c:pt>
                <c:pt idx="3">
                  <c:v>0.35296397925599265</c:v>
                </c:pt>
                <c:pt idx="4">
                  <c:v>0.54744234887035503</c:v>
                </c:pt>
                <c:pt idx="5">
                  <c:v>0.65409709152821094</c:v>
                </c:pt>
                <c:pt idx="6">
                  <c:v>0.69707016617993744</c:v>
                </c:pt>
                <c:pt idx="7">
                  <c:v>0.70034319477523077</c:v>
                </c:pt>
                <c:pt idx="8">
                  <c:v>0.68171938353110839</c:v>
                </c:pt>
                <c:pt idx="9">
                  <c:v>0.65241632382774384</c:v>
                </c:pt>
                <c:pt idx="10">
                  <c:v>0.61897780931699309</c:v>
                </c:pt>
                <c:pt idx="11">
                  <c:v>0.58494328868467527</c:v>
                </c:pt>
                <c:pt idx="12">
                  <c:v>0.55210430779189323</c:v>
                </c:pt>
                <c:pt idx="13">
                  <c:v>0.52128106922803852</c:v>
                </c:pt>
                <c:pt idx="14">
                  <c:v>0.4927714687897824</c:v>
                </c:pt>
                <c:pt idx="15">
                  <c:v>0.46660219969245009</c:v>
                </c:pt>
                <c:pt idx="16">
                  <c:v>0.44266653608525708</c:v>
                </c:pt>
                <c:pt idx="17">
                  <c:v>0.42079881892860982</c:v>
                </c:pt>
                <c:pt idx="18">
                  <c:v>0.40081397639947891</c:v>
                </c:pt>
                <c:pt idx="19">
                  <c:v>0.38252784083147695</c:v>
                </c:pt>
                <c:pt idx="20">
                  <c:v>0.36576697826772175</c:v>
                </c:pt>
                <c:pt idx="21">
                  <c:v>0.35037284686416914</c:v>
                </c:pt>
                <c:pt idx="22">
                  <c:v>0.33620294710231047</c:v>
                </c:pt>
                <c:pt idx="23">
                  <c:v>0.32313043503298022</c:v>
                </c:pt>
                <c:pt idx="24">
                  <c:v>0.31104300750084501</c:v>
                </c:pt>
                <c:pt idx="25">
                  <c:v>0.29984149886843969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46-4FD7-A776-E5045350B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328992"/>
        <c:axId val="1096332352"/>
      </c:scatterChart>
      <c:valAx>
        <c:axId val="1096328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6332352"/>
        <c:crosses val="autoZero"/>
        <c:crossBetween val="midCat"/>
      </c:valAx>
      <c:valAx>
        <c:axId val="109633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6328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'vitesse en fonction du CdA'!$C$1</c:f>
              <c:strCache>
                <c:ptCount val="1"/>
                <c:pt idx="0">
                  <c:v>vitesse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'vitesse en fonction du CdA'!$A$2:$A$26</c:f>
              <c:numCache>
                <c:formatCode>General</c:formatCode>
                <c:ptCount val="25"/>
                <c:pt idx="0">
                  <c:v>0.28999999999999998</c:v>
                </c:pt>
                <c:pt idx="1">
                  <c:v>0.29499999999999998</c:v>
                </c:pt>
                <c:pt idx="2">
                  <c:v>0.3</c:v>
                </c:pt>
                <c:pt idx="3">
                  <c:v>0.30499999999999999</c:v>
                </c:pt>
                <c:pt idx="4">
                  <c:v>0.31</c:v>
                </c:pt>
                <c:pt idx="5">
                  <c:v>0.315</c:v>
                </c:pt>
                <c:pt idx="6">
                  <c:v>0.32</c:v>
                </c:pt>
                <c:pt idx="7">
                  <c:v>0.32500000000000001</c:v>
                </c:pt>
                <c:pt idx="8">
                  <c:v>0.33</c:v>
                </c:pt>
                <c:pt idx="9">
                  <c:v>0.33500000000000002</c:v>
                </c:pt>
                <c:pt idx="10">
                  <c:v>0.34</c:v>
                </c:pt>
                <c:pt idx="11">
                  <c:v>0.34499999999999997</c:v>
                </c:pt>
                <c:pt idx="12">
                  <c:v>0.35</c:v>
                </c:pt>
                <c:pt idx="13">
                  <c:v>0.35499999999999998</c:v>
                </c:pt>
                <c:pt idx="14">
                  <c:v>0.36</c:v>
                </c:pt>
                <c:pt idx="15">
                  <c:v>0.36499999999999999</c:v>
                </c:pt>
                <c:pt idx="16">
                  <c:v>0.37</c:v>
                </c:pt>
                <c:pt idx="17">
                  <c:v>0.375</c:v>
                </c:pt>
                <c:pt idx="18">
                  <c:v>0.38</c:v>
                </c:pt>
                <c:pt idx="19">
                  <c:v>0.38500000000000001</c:v>
                </c:pt>
                <c:pt idx="20">
                  <c:v>0.39</c:v>
                </c:pt>
                <c:pt idx="21">
                  <c:v>0.39500000000000002</c:v>
                </c:pt>
                <c:pt idx="22">
                  <c:v>0.4</c:v>
                </c:pt>
                <c:pt idx="23">
                  <c:v>0.40500000000000003</c:v>
                </c:pt>
                <c:pt idx="24">
                  <c:v>0.41</c:v>
                </c:pt>
              </c:numCache>
            </c:numRef>
          </c:xVal>
          <c:yVal>
            <c:numRef>
              <c:f>'vitesse en fonction du CdA'!$C$2:$C$26</c:f>
              <c:numCache>
                <c:formatCode>0.0</c:formatCode>
                <c:ptCount val="25"/>
                <c:pt idx="0">
                  <c:v>36.219689779660897</c:v>
                </c:pt>
                <c:pt idx="1">
                  <c:v>36.003507688511604</c:v>
                </c:pt>
                <c:pt idx="2">
                  <c:v>35.792569239163058</c:v>
                </c:pt>
                <c:pt idx="3">
                  <c:v>35.586653707269065</c:v>
                </c:pt>
                <c:pt idx="4">
                  <c:v>35.385553469000818</c:v>
                </c:pt>
                <c:pt idx="5">
                  <c:v>35.189073005010371</c:v>
                </c:pt>
                <c:pt idx="6">
                  <c:v>34.997027996174118</c:v>
                </c:pt>
                <c:pt idx="7">
                  <c:v>34.809244501229969</c:v>
                </c:pt>
                <c:pt idx="8">
                  <c:v>34.625558207635329</c:v>
                </c:pt>
                <c:pt idx="9">
                  <c:v>34.445813748020448</c:v>
                </c:pt>
                <c:pt idx="10">
                  <c:v>34.269864075517091</c:v>
                </c:pt>
                <c:pt idx="11">
                  <c:v>34.097569892028027</c:v>
                </c:pt>
                <c:pt idx="12">
                  <c:v>33.928799124185232</c:v>
                </c:pt>
                <c:pt idx="13">
                  <c:v>33.763426442339401</c:v>
                </c:pt>
                <c:pt idx="14">
                  <c:v>33.601332818442451</c:v>
                </c:pt>
                <c:pt idx="15">
                  <c:v>33.442405119139551</c:v>
                </c:pt>
                <c:pt idx="16">
                  <c:v>33.286535730784934</c:v>
                </c:pt>
                <c:pt idx="17">
                  <c:v>33.133622213446685</c:v>
                </c:pt>
                <c:pt idx="18">
                  <c:v>32.98356698127354</c:v>
                </c:pt>
                <c:pt idx="19">
                  <c:v>32.836277006868791</c:v>
                </c:pt>
                <c:pt idx="20">
                  <c:v>32.691663547557191</c:v>
                </c:pt>
                <c:pt idx="21">
                  <c:v>32.549641891643027</c:v>
                </c:pt>
                <c:pt idx="22">
                  <c:v>32.410131122946957</c:v>
                </c:pt>
                <c:pt idx="23">
                  <c:v>32.273053902076597</c:v>
                </c:pt>
                <c:pt idx="24">
                  <c:v>32.138336263035455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7-4055-94F6-DCF0CF69B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977008"/>
        <c:axId val="1596983728"/>
      </c:scatterChart>
      <c:valAx>
        <c:axId val="1596977008"/>
        <c:scaling>
          <c:orientation val="minMax"/>
          <c:min val="0.280000000000000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6983728"/>
        <c:crosses val="autoZero"/>
        <c:crossBetween val="midCat"/>
      </c:valAx>
      <c:valAx>
        <c:axId val="159698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9697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180964</xdr:colOff>
      <xdr:row>12</xdr:row>
      <xdr:rowOff>21669</xdr:rowOff>
    </xdr:from>
    <xdr:to>
      <xdr:col>3</xdr:col>
      <xdr:colOff>1030940</xdr:colOff>
      <xdr:row>28</xdr:row>
      <xdr:rowOff>116540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7BAFD0-F44B-7613-B146-AF1D2B55D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337168</xdr:colOff>
      <xdr:row>2</xdr:row>
      <xdr:rowOff>161840</xdr:rowOff>
    </xdr:from>
    <xdr:to>
      <xdr:col>3</xdr:col>
      <xdr:colOff>1274496</xdr:colOff>
      <xdr:row>5</xdr:row>
      <xdr:rowOff>74177</xdr:rowOff>
    </xdr:to>
    <xdr:sp macro="[0]!calcul_gain" textlink="">
      <xdr:nvSpPr>
        <xdr:cNvPr id="3" name="Rectangle 2">
          <a:extLst>
            <a:ext uri="{FF2B5EF4-FFF2-40B4-BE49-F238E27FC236}">
              <a16:creationId xmlns:a16="http://schemas.microsoft.com/office/drawing/2014/main" id="{EDF308E6-611A-56EE-027D-60EB5107C280}"/>
            </a:ext>
          </a:extLst>
        </xdr:cNvPr>
        <xdr:cNvSpPr/>
      </xdr:nvSpPr>
      <xdr:spPr>
        <a:xfrm>
          <a:off x="4126938" y="532725"/>
          <a:ext cx="937328" cy="4585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calcul gain vitesse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121341</xdr:colOff>
      <xdr:row>25</xdr:row>
      <xdr:rowOff>57257</xdr:rowOff>
    </xdr:from>
    <xdr:to>
      <xdr:col>28</xdr:col>
      <xdr:colOff>882740</xdr:colOff>
      <xdr:row>29</xdr:row>
      <xdr:rowOff>5254</xdr:rowOff>
    </xdr:to>
    <xdr:sp macro="[0]!vitesse200W" textlink="">
      <xdr:nvSpPr>
        <xdr:cNvPr id="2" name="Rectangle 1">
          <a:extLst>
            <a:ext uri="{FF2B5EF4-FFF2-40B4-BE49-F238E27FC236}">
              <a16:creationId xmlns:a16="http://schemas.microsoft.com/office/drawing/2014/main" id="{DAF1D8C1-952A-66D0-FC53-BEB6766502E3}"/>
            </a:ext>
          </a:extLst>
        </xdr:cNvPr>
        <xdr:cNvSpPr/>
      </xdr:nvSpPr>
      <xdr:spPr>
        <a:xfrm>
          <a:off x="25257044" y="5082338"/>
          <a:ext cx="1935291" cy="6997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initialise</a:t>
          </a:r>
          <a:r>
            <a:rPr lang="fr-FR" sz="1600" baseline="0"/>
            <a:t> nb</a:t>
          </a:r>
        </a:p>
        <a:p>
          <a:pPr algn="ctr"/>
          <a:r>
            <a:rPr lang="fr-FR" sz="1600" baseline="0"/>
            <a:t>watt</a:t>
          </a:r>
        </a:p>
      </xdr:txBody>
    </xdr:sp>
    <xdr:clientData/>
  </xdr:twoCellAnchor>
  <xdr:twoCellAnchor>
    <xdr:from>
      <xdr:col>9</xdr:col>
      <xdr:colOff>437161</xdr:colOff>
      <xdr:row>28</xdr:row>
      <xdr:rowOff>133866</xdr:rowOff>
    </xdr:from>
    <xdr:to>
      <xdr:col>17</xdr:col>
      <xdr:colOff>669323</xdr:colOff>
      <xdr:row>46</xdr:row>
      <xdr:rowOff>133865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91BA4FF-E546-97BE-F1EF-EA0543B7E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713506</xdr:colOff>
      <xdr:row>28</xdr:row>
      <xdr:rowOff>123063</xdr:rowOff>
    </xdr:from>
    <xdr:to>
      <xdr:col>24</xdr:col>
      <xdr:colOff>1113305</xdr:colOff>
      <xdr:row>47</xdr:row>
      <xdr:rowOff>1673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D306492C-2B70-1ED8-7FB8-326727A8E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185352</xdr:colOff>
      <xdr:row>30</xdr:row>
      <xdr:rowOff>175054</xdr:rowOff>
    </xdr:from>
    <xdr:to>
      <xdr:col>8</xdr:col>
      <xdr:colOff>679622</xdr:colOff>
      <xdr:row>34</xdr:row>
      <xdr:rowOff>61784</xdr:rowOff>
    </xdr:to>
    <xdr:sp macro="[0]!vitesseselonpuissance" textlink="">
      <xdr:nvSpPr>
        <xdr:cNvPr id="5" name="Rectangle 4">
          <a:extLst>
            <a:ext uri="{FF2B5EF4-FFF2-40B4-BE49-F238E27FC236}">
              <a16:creationId xmlns:a16="http://schemas.microsoft.com/office/drawing/2014/main" id="{AA59D906-1725-3D11-9E82-D6DF18371EEF}"/>
            </a:ext>
          </a:extLst>
        </xdr:cNvPr>
        <xdr:cNvSpPr/>
      </xdr:nvSpPr>
      <xdr:spPr>
        <a:xfrm>
          <a:off x="5776784" y="6137189"/>
          <a:ext cx="2131541" cy="63843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calcul vitesse selon puissance</a:t>
          </a:r>
          <a:r>
            <a:rPr lang="fr-FR" sz="1400" b="1" baseline="0"/>
            <a:t> </a:t>
          </a:r>
          <a:r>
            <a:rPr lang="fr-FR" sz="1400" b="1"/>
            <a:t>et pente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78221</xdr:colOff>
      <xdr:row>0</xdr:row>
      <xdr:rowOff>68873</xdr:rowOff>
    </xdr:from>
    <xdr:to>
      <xdr:col>10</xdr:col>
      <xdr:colOff>751112</xdr:colOff>
      <xdr:row>27</xdr:row>
      <xdr:rowOff>139281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ACB4B66-29BA-CAC5-6925-85F8A739D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82042</xdr:rowOff>
    </xdr:from>
    <xdr:to>
      <xdr:col>7</xdr:col>
      <xdr:colOff>174498</xdr:colOff>
      <xdr:row>51</xdr:row>
      <xdr:rowOff>175031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68D74AB-B976-150B-2612-F94FA2517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343238</xdr:colOff>
      <xdr:row>28</xdr:row>
      <xdr:rowOff>134898</xdr:rowOff>
    </xdr:from>
    <xdr:to>
      <xdr:col>8</xdr:col>
      <xdr:colOff>777966</xdr:colOff>
      <xdr:row>31</xdr:row>
      <xdr:rowOff>35374</xdr:rowOff>
    </xdr:to>
    <xdr:sp macro="[0]!vitesseenfonctionpuissancekg" textlink="">
      <xdr:nvSpPr>
        <xdr:cNvPr id="2" name="Rectangle 1">
          <a:extLst>
            <a:ext uri="{FF2B5EF4-FFF2-40B4-BE49-F238E27FC236}">
              <a16:creationId xmlns:a16="http://schemas.microsoft.com/office/drawing/2014/main" id="{E6DF1E43-8D43-F61D-967B-FB06E6357D2A}"/>
            </a:ext>
          </a:extLst>
        </xdr:cNvPr>
        <xdr:cNvSpPr/>
      </xdr:nvSpPr>
      <xdr:spPr>
        <a:xfrm>
          <a:off x="7691095" y="5468898"/>
          <a:ext cx="1229385" cy="46653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chemeClr val="bg1"/>
              </a:solidFill>
            </a:rPr>
            <a:t>Actualiser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38884</xdr:colOff>
      <xdr:row>40</xdr:row>
      <xdr:rowOff>25981</xdr:rowOff>
    </xdr:from>
    <xdr:to>
      <xdr:col>17</xdr:col>
      <xdr:colOff>1886302</xdr:colOff>
      <xdr:row>43</xdr:row>
      <xdr:rowOff>35859</xdr:rowOff>
    </xdr:to>
    <xdr:sp macro="[0]!montee" textlink="">
      <xdr:nvSpPr>
        <xdr:cNvPr id="2" name="Rectangle 1">
          <a:extLst>
            <a:ext uri="{FF2B5EF4-FFF2-40B4-BE49-F238E27FC236}">
              <a16:creationId xmlns:a16="http://schemas.microsoft.com/office/drawing/2014/main" id="{40837391-1BBC-95A2-2956-21D99F391802}"/>
            </a:ext>
          </a:extLst>
        </xdr:cNvPr>
        <xdr:cNvSpPr/>
      </xdr:nvSpPr>
      <xdr:spPr>
        <a:xfrm>
          <a:off x="16030858" y="7595849"/>
          <a:ext cx="1847418" cy="5512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Initialise</a:t>
          </a:r>
          <a:r>
            <a:rPr lang="fr-FR" sz="1600" b="1" baseline="0"/>
            <a:t> watt</a:t>
          </a:r>
          <a:endParaRPr lang="fr-FR" sz="1600" b="1"/>
        </a:p>
      </xdr:txBody>
    </xdr:sp>
    <xdr:clientData/>
  </xdr:twoCellAnchor>
  <xdr:twoCellAnchor>
    <xdr:from>
      <xdr:col>8</xdr:col>
      <xdr:colOff>507866</xdr:colOff>
      <xdr:row>28</xdr:row>
      <xdr:rowOff>160430</xdr:rowOff>
    </xdr:from>
    <xdr:to>
      <xdr:col>16</xdr:col>
      <xdr:colOff>710773</xdr:colOff>
      <xdr:row>49</xdr:row>
      <xdr:rowOff>42877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A2F8CA1-B4E7-73A5-4A8A-66522387E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126302</xdr:rowOff>
    </xdr:from>
    <xdr:to>
      <xdr:col>8</xdr:col>
      <xdr:colOff>511480</xdr:colOff>
      <xdr:row>49</xdr:row>
      <xdr:rowOff>62631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B36CB44-5B3D-EE6C-2073-D0D32D65F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629920</xdr:colOff>
      <xdr:row>16</xdr:row>
      <xdr:rowOff>0</xdr:rowOff>
    </xdr:from>
    <xdr:to>
      <xdr:col>6</xdr:col>
      <xdr:colOff>223520</xdr:colOff>
      <xdr:row>18</xdr:row>
      <xdr:rowOff>40640</xdr:rowOff>
    </xdr:to>
    <xdr:sp macro="[0]!CdA" textlink="">
      <xdr:nvSpPr>
        <xdr:cNvPr id="2" name="Rectangle 1">
          <a:extLst>
            <a:ext uri="{FF2B5EF4-FFF2-40B4-BE49-F238E27FC236}">
              <a16:creationId xmlns:a16="http://schemas.microsoft.com/office/drawing/2014/main" id="{138519F2-535D-A48A-3974-4DACC8335A54}"/>
            </a:ext>
          </a:extLst>
        </xdr:cNvPr>
        <xdr:cNvSpPr/>
      </xdr:nvSpPr>
      <xdr:spPr>
        <a:xfrm>
          <a:off x="3799840" y="2956560"/>
          <a:ext cx="1178560" cy="4267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  <xdr:twoCellAnchor>
    <xdr:from>
      <xdr:col>13</xdr:col>
      <xdr:colOff>264160</xdr:colOff>
      <xdr:row>6</xdr:row>
      <xdr:rowOff>30480</xdr:rowOff>
    </xdr:from>
    <xdr:to>
      <xdr:col>19</xdr:col>
      <xdr:colOff>619760</xdr:colOff>
      <xdr:row>21</xdr:row>
      <xdr:rowOff>10160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6221BA7-1E1B-1921-A164-7A5E781A9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3FA31-22ED-4B60-B5D7-144C729F52BB}">
  <sheetPr codeName="Feuil1"/>
  <dimension ref="A1:M25"/>
  <sheetViews>
    <sheetView topLeftCell="A2" zoomScale="85" workbookViewId="0">
      <selection activeCell="K11" sqref="K11"/>
    </sheetView>
  </sheetViews>
  <sheetFormatPr baseColWidth="10" defaultRowHeight="14.4" x14ac:dyDescent="0.3"/>
  <cols>
    <col min="1" max="1" width="22" bestFit="1" customWidth="1"/>
    <col min="2" max="2" width="16.109375" customWidth="1"/>
    <col min="3" max="3" width="14" customWidth="1"/>
    <col min="4" max="4" width="17.44140625" customWidth="1"/>
    <col min="5" max="5" width="12.88671875" customWidth="1"/>
    <col min="6" max="6" width="14.109375" customWidth="1"/>
    <col min="7" max="7" width="15.44140625" bestFit="1" customWidth="1"/>
    <col min="8" max="8" width="15.33203125" customWidth="1"/>
    <col min="9" max="9" width="30.33203125" bestFit="1" customWidth="1"/>
    <col min="10" max="10" width="14" bestFit="1" customWidth="1"/>
    <col min="11" max="11" width="15.5546875" bestFit="1" customWidth="1"/>
    <col min="12" max="12" width="19.33203125" bestFit="1" customWidth="1"/>
    <col min="13" max="13" width="7.44140625" bestFit="1" customWidth="1"/>
  </cols>
  <sheetData>
    <row r="1" spans="1:13" ht="15" thickBot="1" x14ac:dyDescent="0.35">
      <c r="A1" s="59" t="s">
        <v>33</v>
      </c>
      <c r="B1" s="60">
        <f>M21*SIN(ATAN(J12))*(J10+J3)</f>
        <v>0</v>
      </c>
      <c r="C1" s="61">
        <f>(B1*$K$9)/(1-$M$20)/$B$4</f>
        <v>0</v>
      </c>
      <c r="D1" s="16"/>
      <c r="E1" s="70" t="s">
        <v>6</v>
      </c>
      <c r="F1" s="71">
        <f>3.6*F2</f>
        <v>31.121153560293649</v>
      </c>
      <c r="G1" s="27">
        <f>((M21*COS(ATAN(J12))*(J10+J3)*J23+M21*SIN(ATAN(J12))*(J10+J3)+0.5*J14*J22*(F2+M16)^2)*F2)/(1-M20)-J6+J5-((J8)*F2^3)/((45/3.6)^3)</f>
        <v>158.96497188278133</v>
      </c>
      <c r="H1" s="20"/>
      <c r="I1" s="148" t="s">
        <v>0</v>
      </c>
      <c r="J1" s="149"/>
      <c r="K1" s="149"/>
      <c r="L1" s="149"/>
      <c r="M1" s="150"/>
    </row>
    <row r="2" spans="1:13" x14ac:dyDescent="0.3">
      <c r="A2" s="62" t="s">
        <v>34</v>
      </c>
      <c r="B2" s="19">
        <f>M21*COS(ATAN(J12))*(J10+J3)*J23</f>
        <v>3.5718354999999997</v>
      </c>
      <c r="C2" s="63">
        <f>(B2*$K$9)/(1-$M$20)/$B$4</f>
        <v>0.19629768771043934</v>
      </c>
      <c r="D2" s="16"/>
      <c r="E2" s="70" t="s">
        <v>24</v>
      </c>
      <c r="F2" s="71">
        <v>8.6447648778593464</v>
      </c>
      <c r="G2" s="72"/>
      <c r="H2" s="24"/>
      <c r="I2" s="13"/>
      <c r="J2" s="2" t="s">
        <v>1</v>
      </c>
      <c r="K2" s="2" t="s">
        <v>2</v>
      </c>
      <c r="L2" s="3" t="s">
        <v>20</v>
      </c>
      <c r="M2" s="5"/>
    </row>
    <row r="3" spans="1:13" x14ac:dyDescent="0.3">
      <c r="A3" s="68" t="s">
        <v>35</v>
      </c>
      <c r="B3" s="67">
        <f>0.5*J14*J22*(K9+M16)^2</f>
        <v>14.624178633741854</v>
      </c>
      <c r="C3" s="69">
        <f>(B3*$K$9)/(1-$M$20)/$B$4</f>
        <v>0.80370231228956057</v>
      </c>
      <c r="D3" s="16"/>
      <c r="E3" s="70"/>
      <c r="F3" s="70"/>
      <c r="G3" s="73"/>
      <c r="H3" s="20"/>
      <c r="I3" s="4" t="s">
        <v>92</v>
      </c>
      <c r="J3" s="6">
        <v>9.85</v>
      </c>
      <c r="K3" s="6">
        <v>9</v>
      </c>
      <c r="L3" s="14">
        <v>9.4</v>
      </c>
      <c r="M3" s="5"/>
    </row>
    <row r="4" spans="1:13" ht="15" thickBot="1" x14ac:dyDescent="0.35">
      <c r="A4" s="64" t="s">
        <v>4</v>
      </c>
      <c r="B4" s="65">
        <f>((B2+B1+B3)*K9)/(1-M20)</f>
        <v>156.32314547888194</v>
      </c>
      <c r="C4" s="66"/>
      <c r="D4" s="16"/>
      <c r="E4" s="70"/>
      <c r="F4" s="70"/>
      <c r="G4" s="72"/>
      <c r="H4" s="24"/>
      <c r="I4" s="4" t="s">
        <v>36</v>
      </c>
      <c r="J4" s="6">
        <v>204</v>
      </c>
      <c r="K4" s="6">
        <v>235</v>
      </c>
      <c r="L4" s="14">
        <v>225</v>
      </c>
      <c r="M4" s="5"/>
    </row>
    <row r="5" spans="1:13" x14ac:dyDescent="0.3">
      <c r="A5" s="16"/>
      <c r="B5" s="16"/>
      <c r="C5" s="16"/>
      <c r="D5" s="16"/>
      <c r="E5" s="16"/>
      <c r="F5" s="16"/>
      <c r="G5" s="16"/>
      <c r="H5" s="16"/>
      <c r="I5" s="4" t="s">
        <v>41</v>
      </c>
      <c r="J5" s="54">
        <v>0</v>
      </c>
      <c r="K5" s="54">
        <v>3</v>
      </c>
      <c r="L5" s="75">
        <v>0</v>
      </c>
      <c r="M5" s="5"/>
    </row>
    <row r="6" spans="1:13" x14ac:dyDescent="0.3">
      <c r="A6" s="16"/>
      <c r="B6" s="16"/>
      <c r="C6" s="16"/>
      <c r="D6" s="16"/>
      <c r="E6" s="16"/>
      <c r="F6" s="16"/>
      <c r="G6" s="16"/>
      <c r="H6" s="16"/>
      <c r="I6" s="4" t="s">
        <v>37</v>
      </c>
      <c r="J6" s="28">
        <f>((K4-J4)*K9^3)/((45/3.6)^3)</f>
        <v>9.1851851851851869</v>
      </c>
      <c r="K6">
        <v>0</v>
      </c>
      <c r="L6" s="29">
        <f>((K4-L4)*K9^3)/(45/3.6)^3</f>
        <v>2.9629629629629637</v>
      </c>
      <c r="M6" s="5"/>
    </row>
    <row r="7" spans="1:13" ht="15" thickBot="1" x14ac:dyDescent="0.35">
      <c r="A7" s="16"/>
      <c r="B7" s="16"/>
      <c r="C7" s="16"/>
      <c r="D7" s="16"/>
      <c r="E7" s="16"/>
      <c r="F7" s="16"/>
      <c r="G7" s="16"/>
      <c r="H7" s="16"/>
      <c r="I7" s="4" t="s">
        <v>38</v>
      </c>
      <c r="J7" s="31" t="s">
        <v>39</v>
      </c>
      <c r="K7" s="32" t="s">
        <v>40</v>
      </c>
      <c r="L7" s="33" t="s">
        <v>40</v>
      </c>
      <c r="M7" s="5"/>
    </row>
    <row r="8" spans="1:13" ht="15" thickBot="1" x14ac:dyDescent="0.35">
      <c r="A8" s="16"/>
      <c r="B8" s="21" t="s">
        <v>29</v>
      </c>
      <c r="C8" s="22" t="s">
        <v>31</v>
      </c>
      <c r="D8" s="17" t="s">
        <v>20</v>
      </c>
      <c r="H8" s="20"/>
      <c r="I8" s="30" t="s">
        <v>57</v>
      </c>
      <c r="J8" s="34">
        <v>10</v>
      </c>
      <c r="K8" s="34">
        <v>0</v>
      </c>
      <c r="L8" s="74">
        <v>0</v>
      </c>
      <c r="M8" s="5"/>
    </row>
    <row r="9" spans="1:13" ht="29.4" thickBot="1" x14ac:dyDescent="0.35">
      <c r="A9" s="23" t="s">
        <v>22</v>
      </c>
      <c r="B9" s="25">
        <f>((M21*COS(ATAN(J12))*(J10+J3)*J23+M21*SIN(ATAN(J12))*(J10+J3)+0.5*J14*J22*(K9+M16)^2)*K9)/(1-M20)-J6+J5-((J8)*K9^3)/((45/3.6)^3)</f>
        <v>144.17499733073379</v>
      </c>
      <c r="C9" s="26">
        <f>((M21*COS(ATAN(J12))*(J10+K3)*J23+M21*SIN(ATAN(J12))*(J10+K3)+0.5*J14*J22*(K9+M16)^2)*K9)/(1-M20)+K5-((K8)*K9^3)/((45/3.6)^3)-K6</f>
        <v>158.96510853730118</v>
      </c>
      <c r="D9" s="18">
        <f>((M21*COS(ATAN(J12))*(J11+L3)*J23+M21*SIN(ATAN(J12))*(J11+L3)+0.5*J14*J22*(K9+M16)^2)*K9)/(1-M20)-L6+L5-((L8)*K9^3)/((45/3.6)^3)</f>
        <v>157.80405279083303</v>
      </c>
      <c r="H9" s="16"/>
      <c r="I9" s="4" t="s">
        <v>6</v>
      </c>
      <c r="J9" s="6">
        <v>30</v>
      </c>
      <c r="K9" s="1">
        <f>J9/3.6</f>
        <v>8.3333333333333339</v>
      </c>
      <c r="L9" s="118" t="s">
        <v>21</v>
      </c>
      <c r="M9" s="37"/>
    </row>
    <row r="10" spans="1:13" x14ac:dyDescent="0.3">
      <c r="A10" s="16" t="s">
        <v>117</v>
      </c>
      <c r="B10" s="19">
        <f>F1-J9</f>
        <v>1.1211535602936493</v>
      </c>
      <c r="D10" s="19"/>
      <c r="H10" s="16"/>
      <c r="I10" s="4" t="s">
        <v>56</v>
      </c>
      <c r="J10" s="6">
        <v>63</v>
      </c>
      <c r="L10" s="118" t="s">
        <v>89</v>
      </c>
      <c r="M10" s="37">
        <v>0.40799999999999997</v>
      </c>
    </row>
    <row r="11" spans="1:13" x14ac:dyDescent="0.3">
      <c r="A11" s="16" t="s">
        <v>25</v>
      </c>
      <c r="B11" s="19">
        <f>((J15/J9)-(J15/F1))*60</f>
        <v>7.205089992063094</v>
      </c>
      <c r="C11" s="16"/>
      <c r="D11" s="16"/>
      <c r="H11" s="16"/>
      <c r="I11" s="4" t="s">
        <v>55</v>
      </c>
      <c r="J11" s="6">
        <v>74</v>
      </c>
      <c r="L11" s="118" t="s">
        <v>90</v>
      </c>
      <c r="M11" s="37">
        <v>0.32400000000000001</v>
      </c>
    </row>
    <row r="12" spans="1:13" x14ac:dyDescent="0.3">
      <c r="A12" s="16"/>
      <c r="B12" s="16"/>
      <c r="C12" s="16"/>
      <c r="D12" s="16"/>
      <c r="E12" s="16"/>
      <c r="F12" s="16"/>
      <c r="G12" s="16"/>
      <c r="H12" s="16"/>
      <c r="I12" s="4" t="s">
        <v>8</v>
      </c>
      <c r="J12" s="15">
        <v>0</v>
      </c>
      <c r="L12" s="118" t="s">
        <v>91</v>
      </c>
      <c r="M12" s="37">
        <v>0.307</v>
      </c>
    </row>
    <row r="13" spans="1:13" x14ac:dyDescent="0.3">
      <c r="A13" s="16"/>
      <c r="B13" s="16"/>
      <c r="C13" s="16"/>
      <c r="D13" s="16"/>
      <c r="E13" s="16"/>
      <c r="F13" s="16"/>
      <c r="G13" s="16"/>
      <c r="H13" s="16"/>
      <c r="I13" s="4" t="s">
        <v>19</v>
      </c>
      <c r="J13" s="6">
        <v>500</v>
      </c>
      <c r="L13" s="118" t="s">
        <v>15</v>
      </c>
      <c r="M13" s="37">
        <v>0.29139999999999999</v>
      </c>
    </row>
    <row r="14" spans="1:13" ht="15" thickBot="1" x14ac:dyDescent="0.35">
      <c r="A14" s="16"/>
      <c r="B14" s="16"/>
      <c r="C14" s="16"/>
      <c r="D14" s="16"/>
      <c r="E14" s="16"/>
      <c r="F14" s="16"/>
      <c r="G14" s="16"/>
      <c r="H14" s="16"/>
      <c r="I14" s="4" t="s">
        <v>13</v>
      </c>
      <c r="J14" s="6">
        <v>0.32</v>
      </c>
      <c r="M14" s="5"/>
    </row>
    <row r="15" spans="1:13" x14ac:dyDescent="0.3">
      <c r="A15" s="16"/>
      <c r="B15" s="16"/>
      <c r="C15" s="16"/>
      <c r="D15" s="16"/>
      <c r="E15" s="21" t="s">
        <v>26</v>
      </c>
      <c r="F15" s="22" t="s">
        <v>27</v>
      </c>
      <c r="G15" s="17" t="s">
        <v>28</v>
      </c>
      <c r="H15" s="16"/>
      <c r="I15" s="4" t="s">
        <v>32</v>
      </c>
      <c r="J15" s="6">
        <v>100</v>
      </c>
      <c r="L15" t="s">
        <v>17</v>
      </c>
      <c r="M15" s="14">
        <v>2</v>
      </c>
    </row>
    <row r="16" spans="1:13" x14ac:dyDescent="0.3">
      <c r="A16" s="16"/>
      <c r="B16" s="16"/>
      <c r="C16" s="16"/>
      <c r="D16" s="16"/>
      <c r="E16" s="56" t="s">
        <v>29</v>
      </c>
      <c r="F16" s="24">
        <f>(((M21*COS(ATAN(J12))*(J10+J3)*J23+M21*SIN(ATAN(J12))*(J10+J3)+0.5*J14*J22*(K9+M16)^2)*K9)/(1-M20)-J6+J5)/J10</f>
        <v>2.3355231792650279</v>
      </c>
      <c r="G16" s="57">
        <f>(((M21*COS(ATAN(J12))*(J11+J3)*J23+M21*SIN(ATAN(J12))*(J11+J3)+0.5*J14*J22*(K9+M16)^2)*K9)/(1-M20)-J6+J5)/J11</f>
        <v>2.0509645883470671</v>
      </c>
      <c r="H16" s="16"/>
      <c r="I16" s="4"/>
      <c r="L16" t="s">
        <v>16</v>
      </c>
      <c r="M16" s="5">
        <f>M15/3.6</f>
        <v>0.55555555555555558</v>
      </c>
    </row>
    <row r="17" spans="1:13" x14ac:dyDescent="0.3">
      <c r="A17" s="16"/>
      <c r="B17" s="16"/>
      <c r="C17" s="16"/>
      <c r="D17" s="16"/>
      <c r="E17" s="56" t="s">
        <v>30</v>
      </c>
      <c r="F17" s="24">
        <f>(((M21*COS(ATAN(J12))*(J10+L3)*J23+M21*SIN(ATAN(J12))*(J10+L3)+0.5*J14*J22*(K9+M16)^2)*K9)/(1-M20)-L6+L5)/J10</f>
        <v>2.4312798975689964</v>
      </c>
      <c r="G17" s="57">
        <f>(((M21*COS(ATAN(J12))*(J11+L3)*J23+M21*SIN(ATAN(J12))*(J11+L3)+0.5*J14*J22*(K9+M16)^2)*K9)/(1-M20)-L6+L5)/J11</f>
        <v>2.1324871998761221</v>
      </c>
      <c r="H17" s="16"/>
      <c r="I17" s="4"/>
      <c r="M17" s="5"/>
    </row>
    <row r="18" spans="1:13" ht="15" thickBot="1" x14ac:dyDescent="0.35">
      <c r="A18" s="16"/>
      <c r="B18" s="16"/>
      <c r="C18" s="16"/>
      <c r="D18" s="16"/>
      <c r="E18" s="58" t="s">
        <v>31</v>
      </c>
      <c r="F18" s="26">
        <f>(((M21*COS(ATAN(J12))*(J10+K3)*J23+M21*SIN(ATAN(J12))*(J10+K3)+0.5*J14*J22*(K9+M16)^2)*K9)/(1-M20)-K6+K5)/J10</f>
        <v>2.5232556910682726</v>
      </c>
      <c r="G18" s="18">
        <f>(((M21*COS(ATAN(J12))*(J11+K3)*J23+M21*SIN(ATAN(J12))*(J11+K3)+0.5*J14*J22*(K9+M16)^2)*K9)/(1-M20)-K6+K5)/J11</f>
        <v>2.2107909159633432</v>
      </c>
      <c r="H18" s="16"/>
      <c r="I18" s="7" t="s">
        <v>43</v>
      </c>
      <c r="J18">
        <v>1.2250000000000001</v>
      </c>
      <c r="M18" s="5"/>
    </row>
    <row r="19" spans="1:13" x14ac:dyDescent="0.3">
      <c r="A19" s="16"/>
      <c r="B19" s="16"/>
      <c r="C19" s="16"/>
      <c r="D19" s="16"/>
      <c r="E19" s="16"/>
      <c r="F19" s="16"/>
      <c r="G19" s="16"/>
      <c r="I19" s="4" t="s">
        <v>11</v>
      </c>
      <c r="J19">
        <v>8.3144500000000008</v>
      </c>
      <c r="M19" s="5"/>
    </row>
    <row r="20" spans="1:13" x14ac:dyDescent="0.3">
      <c r="I20" s="4" t="s">
        <v>12</v>
      </c>
      <c r="J20" s="6">
        <v>25</v>
      </c>
      <c r="K20">
        <f>J20+273.15</f>
        <v>298.14999999999998</v>
      </c>
      <c r="L20" t="s">
        <v>5</v>
      </c>
      <c r="M20" s="8">
        <v>0.03</v>
      </c>
    </row>
    <row r="21" spans="1:13" x14ac:dyDescent="0.3">
      <c r="I21" s="7" t="s">
        <v>44</v>
      </c>
      <c r="J21">
        <v>2.8964400000000001E-2</v>
      </c>
      <c r="L21" t="s">
        <v>7</v>
      </c>
      <c r="M21" s="5">
        <v>9.8059999999999992</v>
      </c>
    </row>
    <row r="22" spans="1:13" x14ac:dyDescent="0.3">
      <c r="I22" s="4" t="s">
        <v>18</v>
      </c>
      <c r="J22">
        <f>J18*EXP((-M21*J21*J13)/(J19*K20))</f>
        <v>1.1567953802080957</v>
      </c>
      <c r="M22" s="5"/>
    </row>
    <row r="23" spans="1:13" x14ac:dyDescent="0.3">
      <c r="I23" s="4" t="s">
        <v>9</v>
      </c>
      <c r="J23" s="9">
        <v>5.0000000000000001E-3</v>
      </c>
      <c r="M23" s="5"/>
    </row>
    <row r="24" spans="1:13" x14ac:dyDescent="0.3">
      <c r="I24" s="4" t="s">
        <v>10</v>
      </c>
      <c r="J24">
        <v>0.65</v>
      </c>
      <c r="K24" s="151" t="s">
        <v>23</v>
      </c>
      <c r="M24" s="5"/>
    </row>
    <row r="25" spans="1:13" ht="15" thickBot="1" x14ac:dyDescent="0.35">
      <c r="I25" s="10" t="s">
        <v>14</v>
      </c>
      <c r="J25" s="11">
        <v>0.5</v>
      </c>
      <c r="K25" s="152"/>
      <c r="L25" s="11"/>
      <c r="M25" s="12"/>
    </row>
  </sheetData>
  <mergeCells count="2">
    <mergeCell ref="I1:M1"/>
    <mergeCell ref="K24:K25"/>
  </mergeCells>
  <conditionalFormatting sqref="F16:G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6F081-BE91-4024-8D7E-13E473839633}">
  <sheetPr codeName="Feuil2"/>
  <dimension ref="A1:AC43"/>
  <sheetViews>
    <sheetView topLeftCell="I1" zoomScale="60" workbookViewId="0">
      <selection activeCell="AB5" sqref="AB5"/>
    </sheetView>
  </sheetViews>
  <sheetFormatPr baseColWidth="10" defaultRowHeight="14.4" x14ac:dyDescent="0.3"/>
  <cols>
    <col min="1" max="1" width="13.88671875" customWidth="1"/>
    <col min="2" max="2" width="14.109375" customWidth="1"/>
    <col min="3" max="3" width="18.5546875" bestFit="1" customWidth="1"/>
    <col min="4" max="4" width="16.109375" bestFit="1" customWidth="1"/>
    <col min="5" max="5" width="13" customWidth="1"/>
    <col min="6" max="6" width="12" customWidth="1"/>
    <col min="7" max="7" width="17.77734375" bestFit="1" customWidth="1"/>
    <col min="8" max="8" width="11.5546875" customWidth="1"/>
    <col min="9" max="9" width="11.6640625" bestFit="1" customWidth="1"/>
    <col min="11" max="11" width="11.88671875" bestFit="1" customWidth="1"/>
    <col min="12" max="12" width="12.6640625" customWidth="1"/>
    <col min="14" max="14" width="12.6640625" bestFit="1" customWidth="1"/>
    <col min="15" max="15" width="14.33203125" customWidth="1"/>
    <col min="16" max="16" width="12.77734375" customWidth="1"/>
    <col min="17" max="17" width="12.33203125" customWidth="1"/>
    <col min="18" max="18" width="11.88671875" customWidth="1"/>
    <col min="19" max="19" width="11.77734375" customWidth="1"/>
    <col min="20" max="20" width="12.88671875" customWidth="1"/>
    <col min="21" max="21" width="12.44140625" customWidth="1"/>
    <col min="22" max="22" width="11.44140625" customWidth="1"/>
    <col min="23" max="23" width="12" customWidth="1"/>
    <col min="24" max="24" width="17" customWidth="1"/>
    <col min="25" max="25" width="29.5546875" bestFit="1" customWidth="1"/>
    <col min="26" max="26" width="15.21875" customWidth="1"/>
    <col min="27" max="27" width="15.77734375" customWidth="1"/>
    <col min="28" max="28" width="17.109375" bestFit="1" customWidth="1"/>
    <col min="29" max="29" width="13.88671875" bestFit="1" customWidth="1"/>
    <col min="30" max="30" width="16.44140625" bestFit="1" customWidth="1"/>
    <col min="31" max="31" width="12" bestFit="1" customWidth="1"/>
  </cols>
  <sheetData>
    <row r="1" spans="1:29" ht="16.2" thickBot="1" x14ac:dyDescent="0.35">
      <c r="A1" s="163" t="s">
        <v>42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5"/>
      <c r="M1" s="166" t="s">
        <v>45</v>
      </c>
      <c r="N1" s="167"/>
      <c r="O1" s="167"/>
      <c r="P1" s="167"/>
      <c r="Q1" s="167"/>
      <c r="R1" s="167"/>
      <c r="S1" s="167"/>
      <c r="T1" s="167"/>
      <c r="U1" s="167"/>
      <c r="V1" s="167"/>
      <c r="W1" s="168"/>
      <c r="X1" s="38"/>
      <c r="Y1" s="148" t="s">
        <v>0</v>
      </c>
      <c r="Z1" s="149"/>
      <c r="AA1" s="149"/>
      <c r="AB1" s="149"/>
      <c r="AC1" s="150"/>
    </row>
    <row r="2" spans="1:29" ht="43.2" x14ac:dyDescent="0.3">
      <c r="A2" s="77" t="s">
        <v>42</v>
      </c>
      <c r="B2" s="83" t="s">
        <v>68</v>
      </c>
      <c r="C2" s="76" t="s">
        <v>29</v>
      </c>
      <c r="D2" s="76" t="s">
        <v>52</v>
      </c>
      <c r="E2" s="76" t="s">
        <v>30</v>
      </c>
      <c r="F2" s="76" t="s">
        <v>51</v>
      </c>
      <c r="G2" s="76" t="s">
        <v>31</v>
      </c>
      <c r="H2" s="78" t="s">
        <v>60</v>
      </c>
      <c r="I2" s="79" t="s">
        <v>58</v>
      </c>
      <c r="J2" s="79" t="s">
        <v>54</v>
      </c>
      <c r="K2" s="80" t="s">
        <v>59</v>
      </c>
      <c r="L2" s="81" t="s">
        <v>53</v>
      </c>
      <c r="M2" s="82" t="s">
        <v>67</v>
      </c>
      <c r="N2" s="76" t="s">
        <v>29</v>
      </c>
      <c r="O2" s="76" t="s">
        <v>52</v>
      </c>
      <c r="P2" s="76" t="s">
        <v>30</v>
      </c>
      <c r="Q2" s="76" t="s">
        <v>51</v>
      </c>
      <c r="R2" s="76" t="s">
        <v>31</v>
      </c>
      <c r="S2" s="78" t="s">
        <v>60</v>
      </c>
      <c r="T2" s="79" t="s">
        <v>58</v>
      </c>
      <c r="U2" s="79" t="s">
        <v>54</v>
      </c>
      <c r="V2" s="80" t="s">
        <v>59</v>
      </c>
      <c r="W2" s="81" t="s">
        <v>53</v>
      </c>
      <c r="X2" s="48"/>
      <c r="Y2" s="13"/>
      <c r="Z2" s="76" t="s">
        <v>1</v>
      </c>
      <c r="AA2" s="76" t="s">
        <v>2</v>
      </c>
      <c r="AB2" s="76" t="s">
        <v>20</v>
      </c>
      <c r="AC2" s="39"/>
    </row>
    <row r="3" spans="1:29" x14ac:dyDescent="0.3">
      <c r="A3" s="51">
        <v>0</v>
      </c>
      <c r="B3" s="129">
        <v>35.143942876578855</v>
      </c>
      <c r="C3" s="28">
        <f>(($AC$21*COS(ATAN(A3))*($Z$9+$Z$3+$Z$6)*$Z$23+$AC$21*SIN(ATAN(A3))*($Z$9+$Z$3+$Z$6)+0.5*$Z$13*$Z$22*((B3/3.6)+$AC$16)^2)*(B3/3.6))/(1-$AC$20)-((($AA$4-$Z$4)*(B3/3.6)^3)/(45/3.6)^3)+$Z$5-(($Z$8)*(B3/3.6)^3)/((45/3.6)^3)</f>
        <v>200.00004353525418</v>
      </c>
      <c r="D3" s="28">
        <f t="shared" ref="D3:D28" si="0">C3/$Z$9</f>
        <v>3.174603865638955</v>
      </c>
      <c r="E3" s="28">
        <f>(($AC$21*COS(ATAN(A3))*($Z$10+$AB$3+$AB$6)*$Z$23+$AC$21*SIN(ATAN(A3))*($Z$10+$AB$3+$AB$6)+0.5*$Z$13*$Z$22*((B3/3.6)+$AC$16)^2)*(B3/3.6))/(1-$AC$20)-((($AA$4-$AB$4)*(B3/3.6)^3)/(45/3.6)^3)+$AB$5-(($AB$8)*(B3/3.6)^3)/((45/3.6)^3)</f>
        <v>219.97231418769829</v>
      </c>
      <c r="F3" s="28">
        <f t="shared" ref="F3:F28" si="1">E3/$Z$10</f>
        <v>2.9725988403743013</v>
      </c>
      <c r="G3" s="28">
        <f>(($AC$21*COS(ATAN(A3))*($Z$9+$AA$3+$AA$6)*$Z$23+$AC$21*SIN(ATAN(A3))*($Z$9+$AA$3+$AA$6)+0.5*$Z$13*$Z$22*((B3/3.6)+$AC$16)^2)*(B3/3.6))/(1-$AC$20)-((($AA$4-$AA$4)*(B3/3.6)^3)/(45/3.6)^3)+$AA$5-(($AA$8)*(B3/3.6)^3)/((45/3.6)^3)</f>
        <v>221.1104146440845</v>
      </c>
      <c r="H3" s="28">
        <f t="shared" ref="H3:H28" si="2">G3/$Z$9</f>
        <v>3.5096891213346746</v>
      </c>
      <c r="I3" s="28">
        <f>G3-C3</f>
        <v>21.110371108830321</v>
      </c>
      <c r="J3" s="28">
        <f>H3-D3</f>
        <v>0.33508525569571956</v>
      </c>
      <c r="K3" s="28">
        <f>E3-C3</f>
        <v>19.972270652444109</v>
      </c>
      <c r="L3" s="29">
        <f>F3-D3</f>
        <v>-0.20200502526465369</v>
      </c>
      <c r="M3" s="49">
        <v>10</v>
      </c>
      <c r="N3" s="28">
        <f>(($AC$21*COS(ATAN(Z15))*($Z$9+$Z$3+$Z$6)*$Z$23+$AC$21*SIN(ATAN($Z$15))*($Z$9+$Z$3+$Z$6)+0.5*$Z$13*$Z$22*((M3/3.6)+$AC$16)^2)*(M3/3.6))/(1-$AC$20)-((($AA$4-$Z$4)*(M3/3.6)^3)/(45/3.6)^3)+$Z$5-(($Z$8)*(M3/3.6)^3)/((45/3.6)^3)</f>
        <v>14.008101225317761</v>
      </c>
      <c r="O3" s="28">
        <f>N3/$Z$9</f>
        <v>0.22235081310028193</v>
      </c>
      <c r="P3" s="28">
        <f>(($AC$21*COS(ATAN(Z15))*($Z$10+$AB$3+$AB$6)*$Z$23+$AC$21*SIN(ATAN($Z$15))*($Z$10+$AB$3+$AB$6)+0.5*$Z$13*$Z$22*((M3/3.6)+$AC$16)^2)*(M3/3.6))/(1-$AC$20)-((($AA$4-$AB$4)*(M3/3.6)^3)/(45/3.6)^3)+$AB$5-(($AB$8)*(M3/3.6)^3)/((45/3.6)^3)</f>
        <v>15.829583360851538</v>
      </c>
      <c r="Q3" s="28">
        <f>P3/$Z$10</f>
        <v>0.21391328866015594</v>
      </c>
      <c r="R3" s="28">
        <f>(($AC$21*COS(ATAN(Z15))*($Z$9+$AA$3+$AA$6)*$Z$23+$AC$21*SIN(ATAN($Z$15))*($Z$9+$AA$3+$AA$6)+0.5*$Z$13*$Z$22*((M3/3.6)+$AC$16)^2)*(M3/3.6))/(1-$AC$20)-((($AA$4-$AA$4)*(M3/3.6)^3)/(45/3.6)^3)+$AA$5-(($AA$8)*(M3/3.6)^3)/((45/3.6)^3)</f>
        <v>16.338686991018548</v>
      </c>
      <c r="S3" s="28">
        <f>R3/$Z$9</f>
        <v>0.25934423795267536</v>
      </c>
      <c r="T3" s="28">
        <f>R3-N3</f>
        <v>2.3305857657007873</v>
      </c>
      <c r="U3" s="28">
        <f>S3-O3</f>
        <v>3.6993424852393431E-2</v>
      </c>
      <c r="V3" s="28">
        <f>P3-N3</f>
        <v>1.8214821355337776</v>
      </c>
      <c r="W3" s="29">
        <f>Q3-O3</f>
        <v>-8.437524440125993E-3</v>
      </c>
      <c r="X3" s="28"/>
      <c r="Y3" s="45" t="s">
        <v>3</v>
      </c>
      <c r="Z3" s="40">
        <v>7.85</v>
      </c>
      <c r="AA3" s="40">
        <v>7</v>
      </c>
      <c r="AB3" s="41">
        <v>7.4</v>
      </c>
      <c r="AC3" s="5"/>
    </row>
    <row r="4" spans="1:29" x14ac:dyDescent="0.3">
      <c r="A4" s="51">
        <v>8.0000000000000002E-3</v>
      </c>
      <c r="B4" s="129">
        <v>31.362883390575373</v>
      </c>
      <c r="C4" s="28">
        <f t="shared" ref="C4:C28" si="3">(($AC$21*COS(ATAN(A4))*($Z$9+$Z$3+$Z$6)*$Z$23+$AC$21*SIN(ATAN(A4))*($Z$9+$Z$3+$Z$6)+0.5*$Z$13*$Z$22*((B4/3.6)+$AC$16)^2)*(B4/3.6))/(1-$AC$20)-((($AA$4-$Z$4)*(B4/3.6)^3)/(45/3.6)^3)+$Z$5-(($Z$8)*(B4/3.6)^3)/((45/3.6)^3)</f>
        <v>200.00004244778737</v>
      </c>
      <c r="D4" s="28">
        <f t="shared" si="0"/>
        <v>3.1746038483775774</v>
      </c>
      <c r="E4" s="28">
        <f t="shared" ref="E4:E28" si="4">(($AC$21*COS(ATAN(A4))*($Z$10+$AB$3+$AB$6)*$Z$23+$AC$21*SIN(ATAN(A4))*($Z$10+$AB$3+$AB$6)+0.5*$Z$13*$Z$22*((B4/3.6)+$AC$16)^2)*(B4/3.6))/(1-$AC$20)-((($AA$4-$AB$4)*(B4/3.6)^3)/(45/3.6)^3)+$AB$5-(($AB$8)*(B4/3.6)^3)/((45/3.6)^3)</f>
        <v>222.57336344612898</v>
      </c>
      <c r="F4" s="28">
        <f t="shared" si="1"/>
        <v>3.0077481546774187</v>
      </c>
      <c r="G4" s="28">
        <f t="shared" ref="G4:G28" si="5">(($AC$21*COS(ATAN(A4))*($Z$9+$AA$3+$AA$6)*$Z$23+$AC$21*SIN(ATAN(A4))*($Z$9+$AA$3+$AA$6)+0.5*$Z$13*$Z$22*((B4/3.6)+$AC$16)^2)*(B4/3.6))/(1-$AC$20)-((($AA$4-$AA$4)*(B4/3.6)^3)/(45/3.6)^3)+$AA$5-(($AA$8)*(B4/3.6)^3)/((45/3.6)^3)</f>
        <v>214.90704083177712</v>
      </c>
      <c r="H4" s="28">
        <f t="shared" si="2"/>
        <v>3.4112228703456688</v>
      </c>
      <c r="I4" s="28">
        <f t="shared" ref="I4:I28" si="6">G4-C4</f>
        <v>14.906998383989759</v>
      </c>
      <c r="J4" s="28">
        <f t="shared" ref="J4:J28" si="7">H4-D4</f>
        <v>0.23661902196809148</v>
      </c>
      <c r="K4" s="28">
        <f t="shared" ref="K4:K28" si="8">E4-C4</f>
        <v>22.573320998341615</v>
      </c>
      <c r="L4" s="29">
        <f t="shared" ref="L4:L28" si="9">F4-D4</f>
        <v>-0.16685569370015862</v>
      </c>
      <c r="M4" s="49">
        <v>11.5</v>
      </c>
      <c r="N4" s="28">
        <f t="shared" ref="N4:N28" si="10">(($AC$21*COS(ATAN(Z16))*($Z$9+$Z$3+$Z$6)*$Z$23+$AC$21*SIN(ATAN($Z$15))*($Z$9+$Z$3+$Z$6)+0.5*$Z$13*$Z$22*((M4/3.6)+$AC$16)^2)*(M4/3.6))/(1-$AC$20)-((($AA$4-$Z$4)*(M4/3.6)^3)/(45/3.6)^3)+$Z$5-(($Z$8)*(M4/3.6)^3)/((45/3.6)^3)</f>
        <v>17.511030025904798</v>
      </c>
      <c r="O4" s="28">
        <f t="shared" ref="O4:O28" si="11">N4/$Z$9</f>
        <v>0.27795285755404442</v>
      </c>
      <c r="P4" s="28">
        <f t="shared" ref="P4:P28" si="12">(($AC$21*COS(ATAN(Z16))*($Z$10+$AB$3+$AB$6)*$Z$23+$AC$21*SIN(ATAN($Z$15))*($Z$10+$AB$3+$AB$6)+0.5*$Z$13*$Z$22*((M4/3.6)+$AC$16)^2)*(M4/3.6))/(1-$AC$20)-((($AA$4-$AB$4)*(M4/3.6)^3)/(45/3.6)^3)+$AB$5-(($AB$8)*(M4/3.6)^3)/((45/3.6)^3)</f>
        <v>19.731903206048482</v>
      </c>
      <c r="Q4" s="28">
        <f t="shared" ref="Q4:Q28" si="13">P4/$Z$10</f>
        <v>0.2666473406222768</v>
      </c>
      <c r="R4" s="28">
        <f t="shared" ref="R4:R28" si="14">(($AC$21*COS(ATAN(Z16))*($Z$9+$AA$3+$AA$6)*$Z$23+$AC$21*SIN(ATAN($Z$15))*($Z$9+$AA$3+$AA$6)+0.5*$Z$13*$Z$22*((M4/3.6)+$AC$16)^2)*(M4/3.6))/(1-$AC$20)-((($AA$4-$AA$4)*(M4/3.6)^3)/(45/3.6)^3)+$AA$5-(($AA$8)*(M4/3.6)^3)/((45/3.6)^3)</f>
        <v>20.058071969217913</v>
      </c>
      <c r="S4" s="28">
        <f t="shared" ref="S4:S28" si="15">R4/$Z$9</f>
        <v>0.3183820947494907</v>
      </c>
      <c r="T4" s="28">
        <f t="shared" ref="T4:T28" si="16">R4-N4</f>
        <v>2.5470419433131148</v>
      </c>
      <c r="U4" s="28">
        <f t="shared" ref="U4:U28" si="17">S4-O4</f>
        <v>4.0429237195446277E-2</v>
      </c>
      <c r="V4" s="28">
        <f t="shared" ref="V4:V28" si="18">P4-N4</f>
        <v>2.2208731801436841</v>
      </c>
      <c r="W4" s="29">
        <f t="shared" ref="W4:W28" si="19">Q4-O4</f>
        <v>-1.1305516931767623E-2</v>
      </c>
      <c r="X4" s="28"/>
      <c r="Y4" s="4" t="s">
        <v>36</v>
      </c>
      <c r="Z4" s="6">
        <v>204</v>
      </c>
      <c r="AA4" s="6">
        <v>235</v>
      </c>
      <c r="AB4" s="42">
        <v>225</v>
      </c>
      <c r="AC4" s="5"/>
    </row>
    <row r="5" spans="1:29" x14ac:dyDescent="0.3">
      <c r="A5" s="51">
        <v>1.6E-2</v>
      </c>
      <c r="B5" s="129">
        <v>27.752773009336551</v>
      </c>
      <c r="C5" s="28">
        <f t="shared" si="3"/>
        <v>200.00001662745623</v>
      </c>
      <c r="D5" s="28">
        <f t="shared" si="0"/>
        <v>3.1746034385310513</v>
      </c>
      <c r="E5" s="28">
        <f t="shared" si="4"/>
        <v>224.53579127111107</v>
      </c>
      <c r="F5" s="28">
        <f t="shared" si="1"/>
        <v>3.0342674496096089</v>
      </c>
      <c r="G5" s="28">
        <f t="shared" si="5"/>
        <v>210.22665458071555</v>
      </c>
      <c r="H5" s="28">
        <f t="shared" si="2"/>
        <v>3.3369310250907231</v>
      </c>
      <c r="I5" s="28">
        <f t="shared" si="6"/>
        <v>10.226637953259313</v>
      </c>
      <c r="J5" s="28">
        <f t="shared" si="7"/>
        <v>0.16232758655967183</v>
      </c>
      <c r="K5" s="28">
        <f t="shared" si="8"/>
        <v>24.535774643654833</v>
      </c>
      <c r="L5" s="29">
        <f t="shared" si="9"/>
        <v>-0.14033598892144239</v>
      </c>
      <c r="M5" s="49">
        <v>13</v>
      </c>
      <c r="N5" s="28">
        <f t="shared" si="10"/>
        <v>21.600722666078102</v>
      </c>
      <c r="O5" s="28">
        <f t="shared" si="11"/>
        <v>0.34286861374727146</v>
      </c>
      <c r="P5" s="28">
        <f t="shared" si="12"/>
        <v>24.273801705646498</v>
      </c>
      <c r="Q5" s="28">
        <f t="shared" si="13"/>
        <v>0.32802434737360131</v>
      </c>
      <c r="R5" s="28">
        <f t="shared" si="14"/>
        <v>24.434072638855383</v>
      </c>
      <c r="S5" s="28">
        <f t="shared" si="15"/>
        <v>0.38784242283897435</v>
      </c>
      <c r="T5" s="28">
        <f t="shared" si="16"/>
        <v>2.8333499727772811</v>
      </c>
      <c r="U5" s="28">
        <f t="shared" si="17"/>
        <v>4.4973809091702899E-2</v>
      </c>
      <c r="V5" s="28">
        <f t="shared" si="18"/>
        <v>2.6730790395683961</v>
      </c>
      <c r="W5" s="29">
        <f t="shared" si="19"/>
        <v>-1.4844266373670145E-2</v>
      </c>
      <c r="X5" s="28"/>
      <c r="Y5" s="4" t="s">
        <v>41</v>
      </c>
      <c r="Z5" s="54">
        <v>0</v>
      </c>
      <c r="AA5" s="54">
        <v>2</v>
      </c>
      <c r="AB5" s="43">
        <v>0</v>
      </c>
      <c r="AC5" s="5" t="s">
        <v>50</v>
      </c>
    </row>
    <row r="6" spans="1:29" x14ac:dyDescent="0.3">
      <c r="A6" s="51">
        <v>2.4E-2</v>
      </c>
      <c r="B6" s="129">
        <v>24.430145553875555</v>
      </c>
      <c r="C6" s="28">
        <f t="shared" si="3"/>
        <v>200.00000217369802</v>
      </c>
      <c r="D6" s="28">
        <f t="shared" si="0"/>
        <v>3.1746032091063179</v>
      </c>
      <c r="E6" s="28">
        <f t="shared" si="4"/>
        <v>225.9433125205401</v>
      </c>
      <c r="F6" s="28">
        <f t="shared" si="1"/>
        <v>3.0532880070343258</v>
      </c>
      <c r="G6" s="28">
        <f t="shared" si="5"/>
        <v>206.86973446790387</v>
      </c>
      <c r="H6" s="28">
        <f t="shared" si="2"/>
        <v>3.2836465788556168</v>
      </c>
      <c r="I6" s="28">
        <f t="shared" si="6"/>
        <v>6.8697322942058463</v>
      </c>
      <c r="J6" s="28">
        <f t="shared" si="7"/>
        <v>0.10904336974929896</v>
      </c>
      <c r="K6" s="28">
        <f t="shared" si="8"/>
        <v>25.943310346842082</v>
      </c>
      <c r="L6" s="29">
        <f t="shared" si="9"/>
        <v>-0.12131520207199209</v>
      </c>
      <c r="M6" s="49">
        <v>14.5</v>
      </c>
      <c r="N6" s="28">
        <f t="shared" si="10"/>
        <v>20.90130370645878</v>
      </c>
      <c r="O6" s="28">
        <f t="shared" si="11"/>
        <v>0.33176672549934572</v>
      </c>
      <c r="P6" s="28">
        <f t="shared" si="12"/>
        <v>23.296684567883663</v>
      </c>
      <c r="Q6" s="28">
        <f t="shared" si="13"/>
        <v>0.31482006172815763</v>
      </c>
      <c r="R6" s="28">
        <f t="shared" si="14"/>
        <v>24.163542356978944</v>
      </c>
      <c r="S6" s="28">
        <f t="shared" si="15"/>
        <v>0.38354829138061813</v>
      </c>
      <c r="T6" s="28">
        <f t="shared" si="16"/>
        <v>3.2622386505201639</v>
      </c>
      <c r="U6" s="28">
        <f t="shared" si="17"/>
        <v>5.1781565881272418E-2</v>
      </c>
      <c r="V6" s="28">
        <f t="shared" si="18"/>
        <v>2.3953808614248828</v>
      </c>
      <c r="W6" s="29">
        <f t="shared" si="19"/>
        <v>-1.6946663771188086E-2</v>
      </c>
      <c r="X6" s="28"/>
      <c r="Y6" s="4" t="s">
        <v>94</v>
      </c>
      <c r="Z6" s="127">
        <v>2</v>
      </c>
      <c r="AA6" s="127">
        <v>2</v>
      </c>
      <c r="AB6" s="128">
        <v>2</v>
      </c>
      <c r="AC6" s="5"/>
    </row>
    <row r="7" spans="1:29" x14ac:dyDescent="0.3">
      <c r="A7" s="51">
        <v>3.2000000000000001E-2</v>
      </c>
      <c r="B7" s="129">
        <v>21.483174363854861</v>
      </c>
      <c r="C7" s="28">
        <f t="shared" si="3"/>
        <v>200.00060367618048</v>
      </c>
      <c r="D7" s="28">
        <f t="shared" si="0"/>
        <v>3.1746127567647693</v>
      </c>
      <c r="E7" s="28">
        <f t="shared" si="4"/>
        <v>226.91046238923437</v>
      </c>
      <c r="F7" s="28">
        <f t="shared" si="1"/>
        <v>3.0663575998545185</v>
      </c>
      <c r="G7" s="28">
        <f t="shared" si="5"/>
        <v>204.56536816404548</v>
      </c>
      <c r="H7" s="28">
        <f t="shared" si="2"/>
        <v>3.2470693359372298</v>
      </c>
      <c r="I7" s="28">
        <f t="shared" si="6"/>
        <v>4.5647644878650055</v>
      </c>
      <c r="J7" s="28">
        <f t="shared" si="7"/>
        <v>7.2456579172460511E-2</v>
      </c>
      <c r="K7" s="28">
        <f t="shared" si="8"/>
        <v>26.909858713053893</v>
      </c>
      <c r="L7" s="29">
        <f t="shared" si="9"/>
        <v>-0.10825515691025078</v>
      </c>
      <c r="M7" s="49">
        <v>16</v>
      </c>
      <c r="N7" s="28">
        <f t="shared" si="10"/>
        <v>17.435010831591129</v>
      </c>
      <c r="O7" s="28">
        <f t="shared" si="11"/>
        <v>0.27674620367604968</v>
      </c>
      <c r="P7" s="28">
        <f t="shared" si="12"/>
        <v>19.111451454809888</v>
      </c>
      <c r="Q7" s="28">
        <f t="shared" si="13"/>
        <v>0.25826285749743094</v>
      </c>
      <c r="R7" s="28">
        <f t="shared" si="14"/>
        <v>21.25512782205687</v>
      </c>
      <c r="S7" s="28">
        <f t="shared" si="15"/>
        <v>0.33738298130249</v>
      </c>
      <c r="T7" s="28">
        <f t="shared" si="16"/>
        <v>3.8201169904657419</v>
      </c>
      <c r="U7" s="28">
        <f t="shared" si="17"/>
        <v>6.0636777626440319E-2</v>
      </c>
      <c r="V7" s="28">
        <f t="shared" si="18"/>
        <v>1.6764406232187596</v>
      </c>
      <c r="W7" s="29">
        <f t="shared" si="19"/>
        <v>-1.8483346178618743E-2</v>
      </c>
      <c r="X7" s="28"/>
      <c r="Y7" s="4" t="s">
        <v>38</v>
      </c>
      <c r="Z7" s="31" t="s">
        <v>39</v>
      </c>
      <c r="AA7" s="32" t="s">
        <v>40</v>
      </c>
      <c r="AB7" s="44" t="s">
        <v>40</v>
      </c>
      <c r="AC7" s="5" t="s">
        <v>49</v>
      </c>
    </row>
    <row r="8" spans="1:29" ht="15" thickBot="1" x14ac:dyDescent="0.35">
      <c r="A8" s="51">
        <v>0.04</v>
      </c>
      <c r="B8" s="129">
        <v>18.947806845675903</v>
      </c>
      <c r="C8" s="28">
        <f t="shared" si="3"/>
        <v>200.00000163174812</v>
      </c>
      <c r="D8" s="28">
        <f t="shared" si="0"/>
        <v>3.1746032005039386</v>
      </c>
      <c r="E8" s="28">
        <f t="shared" si="4"/>
        <v>227.55449673694454</v>
      </c>
      <c r="F8" s="28">
        <f t="shared" si="1"/>
        <v>3.0750607667154668</v>
      </c>
      <c r="G8" s="28">
        <f t="shared" si="5"/>
        <v>203.02714030367733</v>
      </c>
      <c r="H8" s="28">
        <f t="shared" si="2"/>
        <v>3.2226530206932908</v>
      </c>
      <c r="I8" s="28">
        <f t="shared" si="6"/>
        <v>3.0271386719292082</v>
      </c>
      <c r="J8" s="28">
        <f t="shared" si="7"/>
        <v>4.8049820189352221E-2</v>
      </c>
      <c r="K8" s="28">
        <f t="shared" si="8"/>
        <v>27.554495105196423</v>
      </c>
      <c r="L8" s="29">
        <f t="shared" si="9"/>
        <v>-9.9542433788471829E-2</v>
      </c>
      <c r="M8" s="49">
        <v>17.5</v>
      </c>
      <c r="N8" s="28">
        <f t="shared" si="10"/>
        <v>21.446332174573268</v>
      </c>
      <c r="O8" s="28">
        <f t="shared" si="11"/>
        <v>0.34041797102497251</v>
      </c>
      <c r="P8" s="28">
        <f t="shared" si="12"/>
        <v>23.441983324417297</v>
      </c>
      <c r="Q8" s="28">
        <f t="shared" si="13"/>
        <v>0.3167835584380716</v>
      </c>
      <c r="R8" s="28">
        <f t="shared" si="14"/>
        <v>25.843790520421205</v>
      </c>
      <c r="S8" s="28">
        <f t="shared" si="15"/>
        <v>0.41021889714954296</v>
      </c>
      <c r="T8" s="28">
        <f t="shared" si="16"/>
        <v>4.3974583458479373</v>
      </c>
      <c r="U8" s="28">
        <f t="shared" si="17"/>
        <v>6.980092612457045E-2</v>
      </c>
      <c r="V8" s="28">
        <f t="shared" si="18"/>
        <v>1.9956511498440292</v>
      </c>
      <c r="W8" s="29">
        <f t="shared" si="19"/>
        <v>-2.363441258690091E-2</v>
      </c>
      <c r="X8" s="28"/>
      <c r="Y8" s="30" t="s">
        <v>57</v>
      </c>
      <c r="Z8" s="34">
        <v>10</v>
      </c>
      <c r="AA8" s="34">
        <v>0</v>
      </c>
      <c r="AB8" s="46">
        <v>0</v>
      </c>
      <c r="AC8" s="12" t="s">
        <v>48</v>
      </c>
    </row>
    <row r="9" spans="1:29" x14ac:dyDescent="0.3">
      <c r="A9" s="51">
        <v>4.8000000000000001E-2</v>
      </c>
      <c r="B9" s="129">
        <v>16.809781470180852</v>
      </c>
      <c r="C9" s="28">
        <f t="shared" si="3"/>
        <v>200.00000244752252</v>
      </c>
      <c r="D9" s="28">
        <f t="shared" si="0"/>
        <v>3.1746032134527384</v>
      </c>
      <c r="E9" s="28">
        <f t="shared" si="4"/>
        <v>227.97970594966321</v>
      </c>
      <c r="F9" s="28">
        <f t="shared" si="1"/>
        <v>3.0808068371576112</v>
      </c>
      <c r="G9" s="28">
        <f t="shared" si="5"/>
        <v>202.01304106032552</v>
      </c>
      <c r="H9" s="28">
        <f t="shared" si="2"/>
        <v>3.2065562073067544</v>
      </c>
      <c r="I9" s="28">
        <f t="shared" si="6"/>
        <v>2.0130386128030011</v>
      </c>
      <c r="J9" s="28">
        <f t="shared" si="7"/>
        <v>3.1952993854015954E-2</v>
      </c>
      <c r="K9" s="28">
        <f t="shared" si="8"/>
        <v>27.979703502140694</v>
      </c>
      <c r="L9" s="29">
        <f t="shared" si="9"/>
        <v>-9.3796376295127271E-2</v>
      </c>
      <c r="M9" s="49">
        <v>19</v>
      </c>
      <c r="N9" s="28">
        <f t="shared" si="10"/>
        <v>45.349672918158667</v>
      </c>
      <c r="O9" s="28">
        <f t="shared" si="11"/>
        <v>0.71983607806601058</v>
      </c>
      <c r="P9" s="28">
        <f t="shared" si="12"/>
        <v>50.496321490789356</v>
      </c>
      <c r="Q9" s="28">
        <f t="shared" si="13"/>
        <v>0.68238272284850476</v>
      </c>
      <c r="R9" s="28">
        <f t="shared" si="14"/>
        <v>50.209090806972071</v>
      </c>
      <c r="S9" s="28">
        <f t="shared" si="15"/>
        <v>0.79696969534876305</v>
      </c>
      <c r="T9" s="28">
        <f t="shared" si="16"/>
        <v>4.8594178888134039</v>
      </c>
      <c r="U9" s="28">
        <f t="shared" si="17"/>
        <v>7.7133617282752476E-2</v>
      </c>
      <c r="V9" s="28">
        <f t="shared" si="18"/>
        <v>5.1466485726306885</v>
      </c>
      <c r="W9" s="29">
        <f t="shared" si="19"/>
        <v>-3.7453355217505813E-2</v>
      </c>
      <c r="X9" s="28"/>
      <c r="Y9" s="4" t="s">
        <v>56</v>
      </c>
      <c r="Z9" s="6">
        <v>63</v>
      </c>
      <c r="AA9" s="1"/>
      <c r="AB9" s="118" t="s">
        <v>21</v>
      </c>
      <c r="AC9" s="37"/>
    </row>
    <row r="10" spans="1:29" x14ac:dyDescent="0.3">
      <c r="A10" s="51">
        <v>5.6000000000000001E-2</v>
      </c>
      <c r="B10" s="129">
        <v>15.023528056877652</v>
      </c>
      <c r="C10" s="28">
        <f t="shared" si="3"/>
        <v>200.00000230604607</v>
      </c>
      <c r="D10" s="28">
        <f t="shared" si="0"/>
        <v>3.1746032112070806</v>
      </c>
      <c r="E10" s="28">
        <f t="shared" si="4"/>
        <v>228.26121810589845</v>
      </c>
      <c r="F10" s="28">
        <f t="shared" si="1"/>
        <v>3.0846110554851141</v>
      </c>
      <c r="G10" s="28">
        <f t="shared" si="5"/>
        <v>201.34164840515629</v>
      </c>
      <c r="H10" s="28">
        <f t="shared" si="2"/>
        <v>3.195899181034227</v>
      </c>
      <c r="I10" s="28">
        <f t="shared" si="6"/>
        <v>1.3416460991102213</v>
      </c>
      <c r="J10" s="28">
        <f t="shared" si="7"/>
        <v>2.1295969827146433E-2</v>
      </c>
      <c r="K10" s="28">
        <f t="shared" si="8"/>
        <v>28.26121579985238</v>
      </c>
      <c r="L10" s="29">
        <f t="shared" si="9"/>
        <v>-8.9992155721966505E-2</v>
      </c>
      <c r="M10" s="49">
        <v>20.5</v>
      </c>
      <c r="N10" s="28">
        <f t="shared" si="10"/>
        <v>46.008967903996627</v>
      </c>
      <c r="O10" s="28">
        <f t="shared" si="11"/>
        <v>0.73030107784121634</v>
      </c>
      <c r="P10" s="28">
        <f t="shared" si="12"/>
        <v>50.887322279017269</v>
      </c>
      <c r="Q10" s="28">
        <f t="shared" si="13"/>
        <v>0.68766651728401718</v>
      </c>
      <c r="R10" s="28">
        <f t="shared" si="14"/>
        <v>51.728271060501136</v>
      </c>
      <c r="S10" s="28">
        <f t="shared" si="15"/>
        <v>0.82108366762700213</v>
      </c>
      <c r="T10" s="28">
        <f t="shared" si="16"/>
        <v>5.7193031565045089</v>
      </c>
      <c r="U10" s="28">
        <f t="shared" si="17"/>
        <v>9.0782589785785794E-2</v>
      </c>
      <c r="V10" s="28">
        <f t="shared" si="18"/>
        <v>4.878354375020642</v>
      </c>
      <c r="W10" s="29">
        <f t="shared" si="19"/>
        <v>-4.2634560557199164E-2</v>
      </c>
      <c r="X10" s="28"/>
      <c r="Y10" s="4" t="s">
        <v>55</v>
      </c>
      <c r="Z10" s="6">
        <v>74</v>
      </c>
      <c r="AB10" s="118" t="s">
        <v>89</v>
      </c>
      <c r="AC10" s="37">
        <v>0.40799999999999997</v>
      </c>
    </row>
    <row r="11" spans="1:29" x14ac:dyDescent="0.3">
      <c r="A11" s="51">
        <v>6.4000000000000001E-2</v>
      </c>
      <c r="B11" s="129">
        <v>13.532855011976313</v>
      </c>
      <c r="C11" s="28">
        <f t="shared" si="3"/>
        <v>200.00000179910876</v>
      </c>
      <c r="D11" s="28">
        <f t="shared" si="0"/>
        <v>3.1746032031604563</v>
      </c>
      <c r="E11" s="28">
        <f t="shared" si="4"/>
        <v>228.45024209996024</v>
      </c>
      <c r="F11" s="28">
        <f t="shared" si="1"/>
        <v>3.0871654337832464</v>
      </c>
      <c r="G11" s="28">
        <f t="shared" si="5"/>
        <v>200.89083393873415</v>
      </c>
      <c r="H11" s="28">
        <f t="shared" si="2"/>
        <v>3.188743395852923</v>
      </c>
      <c r="I11" s="28">
        <f t="shared" si="6"/>
        <v>0.89083213962538821</v>
      </c>
      <c r="J11" s="28">
        <f t="shared" si="7"/>
        <v>1.4140192692466691E-2</v>
      </c>
      <c r="K11" s="28">
        <f t="shared" si="8"/>
        <v>28.450240300851476</v>
      </c>
      <c r="L11" s="29">
        <f t="shared" si="9"/>
        <v>-8.7437769377209928E-2</v>
      </c>
      <c r="M11" s="49">
        <v>22</v>
      </c>
      <c r="N11" s="28">
        <f t="shared" si="10"/>
        <v>62.746565032651546</v>
      </c>
      <c r="O11" s="28">
        <f t="shared" si="11"/>
        <v>0.99597722274050071</v>
      </c>
      <c r="P11" s="28">
        <f t="shared" si="12"/>
        <v>69.627727382943377</v>
      </c>
      <c r="Q11" s="28">
        <f t="shared" si="13"/>
        <v>0.94091523490464024</v>
      </c>
      <c r="R11" s="28">
        <f t="shared" si="14"/>
        <v>69.274877575268746</v>
      </c>
      <c r="S11" s="28">
        <f t="shared" si="15"/>
        <v>1.0996012313534722</v>
      </c>
      <c r="T11" s="28">
        <f t="shared" si="16"/>
        <v>6.5283125426172006</v>
      </c>
      <c r="U11" s="28">
        <f t="shared" si="17"/>
        <v>0.1036240086129715</v>
      </c>
      <c r="V11" s="28">
        <f t="shared" si="18"/>
        <v>6.8811623502918309</v>
      </c>
      <c r="W11" s="29">
        <f t="shared" si="19"/>
        <v>-5.5061987835860471E-2</v>
      </c>
      <c r="X11" s="28"/>
      <c r="Y11" s="4"/>
      <c r="Z11" s="47"/>
      <c r="AB11" s="118" t="s">
        <v>90</v>
      </c>
      <c r="AC11" s="37">
        <v>0.32400000000000001</v>
      </c>
    </row>
    <row r="12" spans="1:29" x14ac:dyDescent="0.3">
      <c r="A12" s="51">
        <v>7.1999999999999995E-2</v>
      </c>
      <c r="B12" s="129">
        <v>12.283733191690651</v>
      </c>
      <c r="C12" s="28">
        <f t="shared" si="3"/>
        <v>200.0000012893862</v>
      </c>
      <c r="D12" s="28">
        <f t="shared" si="0"/>
        <v>3.1746031950696225</v>
      </c>
      <c r="E12" s="28">
        <f t="shared" si="4"/>
        <v>228.5796838800907</v>
      </c>
      <c r="F12" s="28">
        <f t="shared" si="1"/>
        <v>3.0889146470282527</v>
      </c>
      <c r="G12" s="28">
        <f t="shared" si="5"/>
        <v>200.58212000212549</v>
      </c>
      <c r="H12" s="28">
        <f t="shared" si="2"/>
        <v>3.1838431746369125</v>
      </c>
      <c r="I12" s="28">
        <f t="shared" si="6"/>
        <v>0.5821187127392875</v>
      </c>
      <c r="J12" s="28">
        <f t="shared" si="7"/>
        <v>9.2399795672899465E-3</v>
      </c>
      <c r="K12" s="28">
        <f t="shared" si="8"/>
        <v>28.579682590704493</v>
      </c>
      <c r="L12" s="29">
        <f t="shared" si="9"/>
        <v>-8.5688548041369828E-2</v>
      </c>
      <c r="M12" s="49">
        <v>23.5</v>
      </c>
      <c r="N12" s="28">
        <f t="shared" si="10"/>
        <v>69.203475587136239</v>
      </c>
      <c r="O12" s="28">
        <f t="shared" si="11"/>
        <v>1.0984678664624801</v>
      </c>
      <c r="P12" s="28">
        <f t="shared" si="12"/>
        <v>76.537094228684495</v>
      </c>
      <c r="Q12" s="28">
        <f t="shared" si="13"/>
        <v>1.0342850571443851</v>
      </c>
      <c r="R12" s="28">
        <f t="shared" si="14"/>
        <v>76.80747742159943</v>
      </c>
      <c r="S12" s="28">
        <f t="shared" si="15"/>
        <v>1.219166308279356</v>
      </c>
      <c r="T12" s="28">
        <f t="shared" si="16"/>
        <v>7.6040018344631903</v>
      </c>
      <c r="U12" s="28">
        <f t="shared" si="17"/>
        <v>0.12069844181687595</v>
      </c>
      <c r="V12" s="28">
        <f t="shared" si="18"/>
        <v>7.3336186415482558</v>
      </c>
      <c r="W12" s="29">
        <f t="shared" si="19"/>
        <v>-6.4182809318094947E-2</v>
      </c>
      <c r="X12" s="28"/>
      <c r="Y12" s="4" t="s">
        <v>69</v>
      </c>
      <c r="Z12" s="6">
        <v>200</v>
      </c>
      <c r="AB12" s="118" t="s">
        <v>91</v>
      </c>
      <c r="AC12" s="37">
        <v>0.307</v>
      </c>
    </row>
    <row r="13" spans="1:29" x14ac:dyDescent="0.3">
      <c r="A13" s="51">
        <v>0.08</v>
      </c>
      <c r="B13" s="129">
        <v>11.22971001659171</v>
      </c>
      <c r="C13" s="28">
        <f t="shared" si="3"/>
        <v>200.00000089132558</v>
      </c>
      <c r="D13" s="28">
        <f t="shared" si="0"/>
        <v>3.1746031887511998</v>
      </c>
      <c r="E13" s="28">
        <f t="shared" si="4"/>
        <v>228.67027933371622</v>
      </c>
      <c r="F13" s="28">
        <f t="shared" si="1"/>
        <v>3.0901389099150842</v>
      </c>
      <c r="G13" s="28">
        <f t="shared" si="5"/>
        <v>200.36605298741364</v>
      </c>
      <c r="H13" s="28">
        <f t="shared" si="2"/>
        <v>3.180413539482756</v>
      </c>
      <c r="I13" s="28">
        <f t="shared" si="6"/>
        <v>0.36605209608805467</v>
      </c>
      <c r="J13" s="28">
        <f t="shared" si="7"/>
        <v>5.8103507315561131E-3</v>
      </c>
      <c r="K13" s="28">
        <f t="shared" si="8"/>
        <v>28.670278442390639</v>
      </c>
      <c r="L13" s="29">
        <f t="shared" si="9"/>
        <v>-8.4464278836115625E-2</v>
      </c>
      <c r="M13" s="49">
        <v>25</v>
      </c>
      <c r="N13" s="28">
        <f t="shared" si="10"/>
        <v>81.926230256549204</v>
      </c>
      <c r="O13" s="28">
        <f t="shared" si="11"/>
        <v>1.3004163532785589</v>
      </c>
      <c r="P13" s="28">
        <f t="shared" si="12"/>
        <v>90.55399628171979</v>
      </c>
      <c r="Q13" s="28">
        <f t="shared" si="13"/>
        <v>1.2237026524556729</v>
      </c>
      <c r="R13" s="28">
        <f t="shared" si="14"/>
        <v>90.689543603080267</v>
      </c>
      <c r="S13" s="28">
        <f t="shared" si="15"/>
        <v>1.4395165651282582</v>
      </c>
      <c r="T13" s="28">
        <f t="shared" si="16"/>
        <v>8.7633133465310635</v>
      </c>
      <c r="U13" s="28">
        <f t="shared" si="17"/>
        <v>0.13910021184969934</v>
      </c>
      <c r="V13" s="28">
        <f t="shared" si="18"/>
        <v>8.6277660251705868</v>
      </c>
      <c r="W13" s="29">
        <f t="shared" si="19"/>
        <v>-7.6713700822885977E-2</v>
      </c>
      <c r="X13" s="28"/>
      <c r="Y13" s="4" t="s">
        <v>47</v>
      </c>
      <c r="Z13" s="6">
        <v>0.32</v>
      </c>
      <c r="AB13" s="118" t="s">
        <v>15</v>
      </c>
      <c r="AC13" s="37">
        <v>0.29139999999999999</v>
      </c>
    </row>
    <row r="14" spans="1:29" x14ac:dyDescent="0.3">
      <c r="A14" s="51">
        <v>8.7999999999999995E-2</v>
      </c>
      <c r="B14" s="129">
        <v>10.332961554937322</v>
      </c>
      <c r="C14" s="28">
        <f t="shared" si="3"/>
        <v>200.00000060933618</v>
      </c>
      <c r="D14" s="28">
        <f t="shared" si="0"/>
        <v>3.1746031842751776</v>
      </c>
      <c r="E14" s="28">
        <f t="shared" si="4"/>
        <v>228.73509188170985</v>
      </c>
      <c r="F14" s="28">
        <f t="shared" si="1"/>
        <v>3.0910147551582412</v>
      </c>
      <c r="G14" s="28">
        <f t="shared" si="5"/>
        <v>200.21147731874643</v>
      </c>
      <c r="H14" s="28">
        <f t="shared" si="2"/>
        <v>3.1779599574404194</v>
      </c>
      <c r="I14" s="28">
        <f t="shared" si="6"/>
        <v>0.21147670941024899</v>
      </c>
      <c r="J14" s="28">
        <f t="shared" si="7"/>
        <v>3.3567731652417443E-3</v>
      </c>
      <c r="K14" s="28">
        <f t="shared" si="8"/>
        <v>28.735091272373666</v>
      </c>
      <c r="L14" s="29">
        <f t="shared" si="9"/>
        <v>-8.3588429116936425E-2</v>
      </c>
      <c r="M14" s="49">
        <v>26.5</v>
      </c>
      <c r="N14" s="28">
        <f t="shared" si="10"/>
        <v>97.440507495766738</v>
      </c>
      <c r="O14" s="28">
        <f t="shared" si="11"/>
        <v>1.5466747221550277</v>
      </c>
      <c r="P14" s="28">
        <f t="shared" si="12"/>
        <v>107.6967726034909</v>
      </c>
      <c r="Q14" s="28">
        <f t="shared" si="13"/>
        <v>1.4553617919390662</v>
      </c>
      <c r="R14" s="28">
        <f t="shared" si="14"/>
        <v>107.49729640038824</v>
      </c>
      <c r="S14" s="28">
        <f t="shared" si="15"/>
        <v>1.7063062920696546</v>
      </c>
      <c r="T14" s="28">
        <f t="shared" si="16"/>
        <v>10.056788904621499</v>
      </c>
      <c r="U14" s="28">
        <f t="shared" si="17"/>
        <v>0.1596315699146269</v>
      </c>
      <c r="V14" s="28">
        <f t="shared" si="18"/>
        <v>10.256265107724161</v>
      </c>
      <c r="W14" s="29">
        <f t="shared" si="19"/>
        <v>-9.131293021596143E-2</v>
      </c>
      <c r="X14" s="28"/>
      <c r="Y14" s="4"/>
      <c r="AC14" s="5"/>
    </row>
    <row r="15" spans="1:29" x14ac:dyDescent="0.3">
      <c r="A15" s="51">
        <v>9.6000000000000002E-2</v>
      </c>
      <c r="B15" s="129">
        <v>9.5634596633530133</v>
      </c>
      <c r="C15" s="28">
        <f t="shared" si="3"/>
        <v>200.0000004174025</v>
      </c>
      <c r="D15" s="28">
        <f t="shared" si="0"/>
        <v>3.1746031812286111</v>
      </c>
      <c r="E15" s="28">
        <f t="shared" si="4"/>
        <v>228.78244071337883</v>
      </c>
      <c r="F15" s="28">
        <f t="shared" si="1"/>
        <v>3.0916546042348489</v>
      </c>
      <c r="G15" s="28">
        <f t="shared" si="5"/>
        <v>200.09855205735181</v>
      </c>
      <c r="H15" s="28">
        <f t="shared" si="2"/>
        <v>3.1761674929738382</v>
      </c>
      <c r="I15" s="28">
        <f t="shared" si="6"/>
        <v>9.8551639949306491E-2</v>
      </c>
      <c r="J15" s="28">
        <f t="shared" si="7"/>
        <v>1.5643117452270872E-3</v>
      </c>
      <c r="K15" s="28">
        <f t="shared" si="8"/>
        <v>28.782440295976329</v>
      </c>
      <c r="L15" s="29">
        <f t="shared" si="9"/>
        <v>-8.2948576993762124E-2</v>
      </c>
      <c r="M15" s="49">
        <v>28</v>
      </c>
      <c r="N15" s="28">
        <f t="shared" si="10"/>
        <v>111.60723129405176</v>
      </c>
      <c r="O15" s="28">
        <f t="shared" si="11"/>
        <v>1.7715433538738374</v>
      </c>
      <c r="P15" s="28">
        <f t="shared" si="12"/>
        <v>123.2227392982377</v>
      </c>
      <c r="Q15" s="28">
        <f t="shared" si="13"/>
        <v>1.6651721526788879</v>
      </c>
      <c r="R15" s="28">
        <f t="shared" si="14"/>
        <v>123.14995785776706</v>
      </c>
      <c r="S15" s="28">
        <f t="shared" si="15"/>
        <v>1.9547612358375723</v>
      </c>
      <c r="T15" s="28">
        <f t="shared" si="16"/>
        <v>11.542726563715306</v>
      </c>
      <c r="U15" s="28">
        <f t="shared" si="17"/>
        <v>0.1832178819637349</v>
      </c>
      <c r="V15" s="28">
        <f t="shared" si="18"/>
        <v>11.615508004185941</v>
      </c>
      <c r="W15" s="29">
        <f t="shared" si="19"/>
        <v>-0.10637120119494958</v>
      </c>
      <c r="X15" s="28"/>
      <c r="Y15" s="4" t="s">
        <v>63</v>
      </c>
      <c r="Z15" s="119">
        <v>0</v>
      </c>
      <c r="AB15" t="s">
        <v>17</v>
      </c>
      <c r="AC15" s="14">
        <v>0</v>
      </c>
    </row>
    <row r="16" spans="1:29" x14ac:dyDescent="0.3">
      <c r="A16" s="51">
        <v>0.104</v>
      </c>
      <c r="B16" s="129">
        <v>8.897592524097897</v>
      </c>
      <c r="C16" s="28">
        <f t="shared" si="3"/>
        <v>200.00000028848618</v>
      </c>
      <c r="D16" s="28">
        <f t="shared" si="0"/>
        <v>3.1746031791823204</v>
      </c>
      <c r="E16" s="28">
        <f t="shared" si="4"/>
        <v>228.817712067386</v>
      </c>
      <c r="F16" s="28">
        <f t="shared" si="1"/>
        <v>3.0921312441538649</v>
      </c>
      <c r="G16" s="28">
        <f t="shared" si="5"/>
        <v>200.01443119829341</v>
      </c>
      <c r="H16" s="28">
        <f t="shared" si="2"/>
        <v>3.1748322412427523</v>
      </c>
      <c r="I16" s="28">
        <f t="shared" si="6"/>
        <v>1.4430909807231274E-2</v>
      </c>
      <c r="J16" s="28">
        <f t="shared" si="7"/>
        <v>2.2906206043193933E-4</v>
      </c>
      <c r="K16" s="28">
        <f t="shared" si="8"/>
        <v>28.81771177889982</v>
      </c>
      <c r="L16" s="29">
        <f t="shared" si="9"/>
        <v>-8.2471935028455512E-2</v>
      </c>
      <c r="M16" s="49">
        <v>29.5</v>
      </c>
      <c r="N16" s="28">
        <f t="shared" si="10"/>
        <v>127.20259748437289</v>
      </c>
      <c r="O16" s="28">
        <f t="shared" si="11"/>
        <v>2.0190888489582997</v>
      </c>
      <c r="P16" s="28">
        <f t="shared" si="12"/>
        <v>140.30594097761318</v>
      </c>
      <c r="Q16" s="28">
        <f t="shared" si="13"/>
        <v>1.896026229427205</v>
      </c>
      <c r="R16" s="28">
        <f t="shared" si="14"/>
        <v>140.40133578125605</v>
      </c>
      <c r="S16" s="28">
        <f t="shared" si="15"/>
        <v>2.2285926314485089</v>
      </c>
      <c r="T16" s="28">
        <f t="shared" si="16"/>
        <v>13.198738296883164</v>
      </c>
      <c r="U16" s="28">
        <f t="shared" si="17"/>
        <v>0.20950378249020929</v>
      </c>
      <c r="V16" s="28">
        <f t="shared" si="18"/>
        <v>13.103343493240288</v>
      </c>
      <c r="W16" s="29">
        <f t="shared" si="19"/>
        <v>-0.12306261953109465</v>
      </c>
      <c r="X16" s="28"/>
      <c r="Y16" s="4"/>
      <c r="AB16" t="s">
        <v>16</v>
      </c>
      <c r="AC16" s="5">
        <f>AC15/3.6</f>
        <v>0</v>
      </c>
    </row>
    <row r="17" spans="1:29" ht="14.4" customHeight="1" x14ac:dyDescent="0.3">
      <c r="A17" s="51">
        <v>0.112</v>
      </c>
      <c r="B17" s="129">
        <v>8.3168447914022146</v>
      </c>
      <c r="C17" s="28">
        <f t="shared" si="3"/>
        <v>200.00085355768965</v>
      </c>
      <c r="D17" s="28">
        <f t="shared" si="0"/>
        <v>3.1746167231379312</v>
      </c>
      <c r="E17" s="28">
        <f t="shared" si="4"/>
        <v>228.84543578298801</v>
      </c>
      <c r="F17" s="28">
        <f t="shared" si="1"/>
        <v>3.0925058889592973</v>
      </c>
      <c r="G17" s="28">
        <f t="shared" si="5"/>
        <v>199.95148457344197</v>
      </c>
      <c r="H17" s="28">
        <f t="shared" si="2"/>
        <v>3.1738330884673327</v>
      </c>
      <c r="I17" s="28">
        <f t="shared" si="6"/>
        <v>-4.9368984247678327E-2</v>
      </c>
      <c r="J17" s="28">
        <f t="shared" si="7"/>
        <v>-7.8363467059849867E-4</v>
      </c>
      <c r="K17" s="28">
        <f t="shared" si="8"/>
        <v>28.844582225298353</v>
      </c>
      <c r="L17" s="29">
        <f t="shared" si="9"/>
        <v>-8.2110834178633851E-2</v>
      </c>
      <c r="M17" s="49">
        <v>31</v>
      </c>
      <c r="N17" s="28">
        <f t="shared" si="10"/>
        <v>144.30314048058918</v>
      </c>
      <c r="O17" s="28">
        <f t="shared" si="11"/>
        <v>2.2905260393744316</v>
      </c>
      <c r="P17" s="28">
        <f t="shared" si="12"/>
        <v>159.02980094436526</v>
      </c>
      <c r="Q17" s="28">
        <f t="shared" si="13"/>
        <v>2.1490513641130442</v>
      </c>
      <c r="R17" s="28">
        <f t="shared" si="14"/>
        <v>159.3370756958254</v>
      </c>
      <c r="S17" s="28">
        <f t="shared" si="15"/>
        <v>2.5291599316797684</v>
      </c>
      <c r="T17" s="28">
        <f t="shared" si="16"/>
        <v>15.033935215236227</v>
      </c>
      <c r="U17" s="28">
        <f t="shared" si="17"/>
        <v>0.23863389230533683</v>
      </c>
      <c r="V17" s="28">
        <f t="shared" si="18"/>
        <v>14.726660463776085</v>
      </c>
      <c r="W17" s="29">
        <f t="shared" si="19"/>
        <v>-0.14147467526138735</v>
      </c>
      <c r="X17" s="28"/>
      <c r="Y17" s="4"/>
      <c r="AB17" s="153" t="s">
        <v>88</v>
      </c>
      <c r="AC17" s="154"/>
    </row>
    <row r="18" spans="1:29" x14ac:dyDescent="0.3">
      <c r="A18" s="51">
        <v>0.12</v>
      </c>
      <c r="B18" s="129">
        <v>7.8065094828934223</v>
      </c>
      <c r="C18" s="28">
        <f t="shared" si="3"/>
        <v>200.00071980124739</v>
      </c>
      <c r="D18" s="28">
        <f t="shared" si="0"/>
        <v>3.1746146000197997</v>
      </c>
      <c r="E18" s="28">
        <f t="shared" si="4"/>
        <v>228.86590065890294</v>
      </c>
      <c r="F18" s="28">
        <f t="shared" si="1"/>
        <v>3.0927824413365261</v>
      </c>
      <c r="G18" s="28">
        <f t="shared" si="5"/>
        <v>199.90217949316192</v>
      </c>
      <c r="H18" s="28">
        <f t="shared" si="2"/>
        <v>3.1730504681454272</v>
      </c>
      <c r="I18" s="28">
        <f t="shared" si="6"/>
        <v>-9.8540308085460993E-2</v>
      </c>
      <c r="J18" s="28">
        <f t="shared" si="7"/>
        <v>-1.564131874372432E-3</v>
      </c>
      <c r="K18" s="28">
        <f t="shared" si="8"/>
        <v>28.86518085765556</v>
      </c>
      <c r="L18" s="29">
        <f t="shared" si="9"/>
        <v>-8.1832158683273537E-2</v>
      </c>
      <c r="M18" s="49">
        <v>32.5</v>
      </c>
      <c r="N18" s="28">
        <f t="shared" si="10"/>
        <v>162.98539469655969</v>
      </c>
      <c r="O18" s="28">
        <f t="shared" si="11"/>
        <v>2.587069757088249</v>
      </c>
      <c r="P18" s="28">
        <f t="shared" si="12"/>
        <v>179.47774250124198</v>
      </c>
      <c r="Q18" s="28">
        <f t="shared" si="13"/>
        <v>2.425374898665432</v>
      </c>
      <c r="R18" s="28">
        <f t="shared" si="14"/>
        <v>180.04282312644528</v>
      </c>
      <c r="S18" s="28">
        <f t="shared" si="15"/>
        <v>2.8578225893086553</v>
      </c>
      <c r="T18" s="28">
        <f t="shared" si="16"/>
        <v>17.05742842988559</v>
      </c>
      <c r="U18" s="28">
        <f t="shared" si="17"/>
        <v>0.27075283222040625</v>
      </c>
      <c r="V18" s="28">
        <f t="shared" si="18"/>
        <v>16.492347804682282</v>
      </c>
      <c r="W18" s="29">
        <f t="shared" si="19"/>
        <v>-0.16169485842281706</v>
      </c>
      <c r="X18" s="28"/>
      <c r="Y18" s="7" t="s">
        <v>43</v>
      </c>
      <c r="Z18">
        <v>1.2250000000000001</v>
      </c>
      <c r="AB18" s="153"/>
      <c r="AC18" s="154"/>
    </row>
    <row r="19" spans="1:29" x14ac:dyDescent="0.3">
      <c r="A19" s="51">
        <v>0.128</v>
      </c>
      <c r="B19" s="129">
        <v>7.3550164668670845</v>
      </c>
      <c r="C19" s="28">
        <f t="shared" si="3"/>
        <v>200.00061124116348</v>
      </c>
      <c r="D19" s="28">
        <f t="shared" si="0"/>
        <v>3.1746128768438648</v>
      </c>
      <c r="E19" s="28">
        <f t="shared" si="4"/>
        <v>228.88190511560859</v>
      </c>
      <c r="F19" s="28">
        <f t="shared" si="1"/>
        <v>3.0929987177784946</v>
      </c>
      <c r="G19" s="28">
        <f t="shared" si="5"/>
        <v>199.86360598192857</v>
      </c>
      <c r="H19" s="28">
        <f t="shared" si="2"/>
        <v>3.1724381901893426</v>
      </c>
      <c r="I19" s="28">
        <f t="shared" si="6"/>
        <v>-0.13700525923491114</v>
      </c>
      <c r="J19" s="28">
        <f t="shared" si="7"/>
        <v>-2.174686654522251E-3</v>
      </c>
      <c r="K19" s="28">
        <f t="shared" si="8"/>
        <v>28.881293874445106</v>
      </c>
      <c r="L19" s="29">
        <f t="shared" si="9"/>
        <v>-8.1614159065370284E-2</v>
      </c>
      <c r="M19" s="49">
        <v>34</v>
      </c>
      <c r="N19" s="28">
        <f t="shared" si="10"/>
        <v>183.32589454614359</v>
      </c>
      <c r="O19" s="28">
        <f t="shared" si="11"/>
        <v>2.9099348340657714</v>
      </c>
      <c r="P19" s="28">
        <f t="shared" si="12"/>
        <v>201.73318895099135</v>
      </c>
      <c r="Q19" s="28">
        <f t="shared" si="13"/>
        <v>2.7261241750133967</v>
      </c>
      <c r="R19" s="28">
        <f t="shared" si="14"/>
        <v>202.60422359808592</v>
      </c>
      <c r="S19" s="28">
        <f t="shared" si="15"/>
        <v>3.215940057112475</v>
      </c>
      <c r="T19" s="28">
        <f t="shared" si="16"/>
        <v>19.278329051942336</v>
      </c>
      <c r="U19" s="28">
        <f t="shared" si="17"/>
        <v>0.30600522304670363</v>
      </c>
      <c r="V19" s="28">
        <f t="shared" si="18"/>
        <v>18.407294404847761</v>
      </c>
      <c r="W19" s="29">
        <f t="shared" si="19"/>
        <v>-0.1838106590523747</v>
      </c>
      <c r="X19" s="28"/>
      <c r="Y19" s="4" t="s">
        <v>11</v>
      </c>
      <c r="Z19">
        <v>8.3144500000000008</v>
      </c>
      <c r="AB19" s="120"/>
      <c r="AC19" s="117"/>
    </row>
    <row r="20" spans="1:29" x14ac:dyDescent="0.3">
      <c r="A20" s="51">
        <v>0.13600000000000001</v>
      </c>
      <c r="B20" s="129">
        <v>6.9530748004203575</v>
      </c>
      <c r="C20" s="28">
        <f t="shared" si="3"/>
        <v>200.00052267281859</v>
      </c>
      <c r="D20" s="28">
        <f t="shared" si="0"/>
        <v>3.1746114709971205</v>
      </c>
      <c r="E20" s="28">
        <f t="shared" si="4"/>
        <v>228.89459093202623</v>
      </c>
      <c r="F20" s="28">
        <f t="shared" si="1"/>
        <v>3.0931701477300844</v>
      </c>
      <c r="G20" s="28">
        <f t="shared" si="5"/>
        <v>199.83302160103574</v>
      </c>
      <c r="H20" s="28">
        <f t="shared" si="2"/>
        <v>3.1719527238259642</v>
      </c>
      <c r="I20" s="28">
        <f t="shared" si="6"/>
        <v>-0.16750107178285134</v>
      </c>
      <c r="J20" s="28">
        <f t="shared" si="7"/>
        <v>-2.6587471711563282E-3</v>
      </c>
      <c r="K20" s="28">
        <f t="shared" si="8"/>
        <v>28.894068259207643</v>
      </c>
      <c r="L20" s="29">
        <f t="shared" si="9"/>
        <v>-8.1441323267036125E-2</v>
      </c>
      <c r="M20" s="49">
        <v>35.5</v>
      </c>
      <c r="N20" s="28">
        <f t="shared" si="10"/>
        <v>205.40117444319981</v>
      </c>
      <c r="O20" s="28">
        <f t="shared" si="11"/>
        <v>3.2603361022730128</v>
      </c>
      <c r="P20" s="28">
        <f t="shared" si="12"/>
        <v>225.87956359636118</v>
      </c>
      <c r="Q20" s="28">
        <f t="shared" si="13"/>
        <v>3.0524265350859618</v>
      </c>
      <c r="R20" s="28">
        <f t="shared" si="14"/>
        <v>227.10692263571741</v>
      </c>
      <c r="S20" s="28">
        <f t="shared" si="15"/>
        <v>3.6048717878685301</v>
      </c>
      <c r="T20" s="28">
        <f t="shared" si="16"/>
        <v>21.705748192517603</v>
      </c>
      <c r="U20" s="28">
        <f t="shared" si="17"/>
        <v>0.34453568559551728</v>
      </c>
      <c r="V20" s="28">
        <f t="shared" si="18"/>
        <v>20.478389153161373</v>
      </c>
      <c r="W20" s="29">
        <f t="shared" si="19"/>
        <v>-0.207909567187051</v>
      </c>
      <c r="X20" s="28"/>
      <c r="Y20" s="4" t="s">
        <v>12</v>
      </c>
      <c r="Z20" s="6">
        <v>15</v>
      </c>
      <c r="AA20">
        <f>Z20+273.15</f>
        <v>288.14999999999998</v>
      </c>
      <c r="AB20" t="s">
        <v>5</v>
      </c>
      <c r="AC20" s="8">
        <v>0.03</v>
      </c>
    </row>
    <row r="21" spans="1:29" x14ac:dyDescent="0.3">
      <c r="A21" s="51">
        <v>0.14399999999999999</v>
      </c>
      <c r="B21" s="129">
        <v>6.5931905852191566</v>
      </c>
      <c r="C21" s="28">
        <f t="shared" si="3"/>
        <v>200.00044996915381</v>
      </c>
      <c r="D21" s="28">
        <f t="shared" si="0"/>
        <v>3.1746103169706954</v>
      </c>
      <c r="E21" s="28">
        <f t="shared" si="4"/>
        <v>228.90476987171968</v>
      </c>
      <c r="F21" s="28">
        <f t="shared" si="1"/>
        <v>3.0933077009691847</v>
      </c>
      <c r="G21" s="28">
        <f t="shared" si="5"/>
        <v>199.80847498865225</v>
      </c>
      <c r="H21" s="28">
        <f t="shared" si="2"/>
        <v>3.1715630950579721</v>
      </c>
      <c r="I21" s="28">
        <f t="shared" si="6"/>
        <v>-0.19197498050155559</v>
      </c>
      <c r="J21" s="28">
        <f t="shared" si="7"/>
        <v>-3.0472219127233302E-3</v>
      </c>
      <c r="K21" s="28">
        <f t="shared" si="8"/>
        <v>28.904319902565874</v>
      </c>
      <c r="L21" s="29">
        <f t="shared" si="9"/>
        <v>-8.1302616001510675E-2</v>
      </c>
      <c r="M21" s="49">
        <v>37</v>
      </c>
      <c r="N21" s="28">
        <f t="shared" si="10"/>
        <v>229.2877688015875</v>
      </c>
      <c r="O21" s="28">
        <f t="shared" si="11"/>
        <v>3.6394883936759923</v>
      </c>
      <c r="P21" s="28">
        <f t="shared" si="12"/>
        <v>252.0002897400995</v>
      </c>
      <c r="Q21" s="28">
        <f t="shared" si="13"/>
        <v>3.4054093208121556</v>
      </c>
      <c r="R21" s="28">
        <f t="shared" si="14"/>
        <v>253.63656576431003</v>
      </c>
      <c r="S21" s="28">
        <f t="shared" si="15"/>
        <v>4.0259772343541274</v>
      </c>
      <c r="T21" s="28">
        <f t="shared" si="16"/>
        <v>24.348796962722531</v>
      </c>
      <c r="U21" s="28">
        <f t="shared" si="17"/>
        <v>0.38648884067813505</v>
      </c>
      <c r="V21" s="28">
        <f t="shared" si="18"/>
        <v>22.712520938512</v>
      </c>
      <c r="W21" s="29">
        <f t="shared" si="19"/>
        <v>-0.23407907286383667</v>
      </c>
      <c r="X21" s="28"/>
      <c r="Y21" s="7" t="s">
        <v>44</v>
      </c>
      <c r="Z21">
        <v>2.8964400000000001E-2</v>
      </c>
      <c r="AB21" t="s">
        <v>7</v>
      </c>
      <c r="AC21" s="5">
        <v>9.8059999999999992</v>
      </c>
    </row>
    <row r="22" spans="1:29" x14ac:dyDescent="0.3">
      <c r="A22" s="51">
        <v>0.152</v>
      </c>
      <c r="B22" s="129">
        <v>6.2692688365166553</v>
      </c>
      <c r="C22" s="28">
        <f t="shared" si="3"/>
        <v>200.00038989504898</v>
      </c>
      <c r="D22" s="28">
        <f t="shared" si="0"/>
        <v>3.174609363413476</v>
      </c>
      <c r="E22" s="28">
        <f t="shared" si="4"/>
        <v>228.91302860696459</v>
      </c>
      <c r="F22" s="28">
        <f t="shared" si="1"/>
        <v>3.0934193054995216</v>
      </c>
      <c r="G22" s="28">
        <f t="shared" si="5"/>
        <v>199.78855493100684</v>
      </c>
      <c r="H22" s="28">
        <f t="shared" si="2"/>
        <v>3.1712469036667752</v>
      </c>
      <c r="I22" s="28">
        <f t="shared" si="6"/>
        <v>-0.21183496404213997</v>
      </c>
      <c r="J22" s="28">
        <f t="shared" si="7"/>
        <v>-3.3624597467007966E-3</v>
      </c>
      <c r="K22" s="28">
        <f t="shared" si="8"/>
        <v>28.912638711915605</v>
      </c>
      <c r="L22" s="29">
        <f t="shared" si="9"/>
        <v>-8.1190057913954394E-2</v>
      </c>
      <c r="M22" s="49">
        <v>38.5</v>
      </c>
      <c r="N22" s="28">
        <f t="shared" si="10"/>
        <v>255.0622120351658</v>
      </c>
      <c r="O22" s="28">
        <f t="shared" si="11"/>
        <v>4.0486065402407272</v>
      </c>
      <c r="P22" s="28">
        <f t="shared" si="12"/>
        <v>280.17879068495444</v>
      </c>
      <c r="Q22" s="28">
        <f t="shared" si="13"/>
        <v>3.7861998741210057</v>
      </c>
      <c r="R22" s="28">
        <f t="shared" si="14"/>
        <v>282.27879850883403</v>
      </c>
      <c r="S22" s="28">
        <f t="shared" si="15"/>
        <v>4.480615849346572</v>
      </c>
      <c r="T22" s="28">
        <f t="shared" si="16"/>
        <v>27.216586473668229</v>
      </c>
      <c r="U22" s="28">
        <f t="shared" si="17"/>
        <v>0.43200930910584479</v>
      </c>
      <c r="V22" s="28">
        <f t="shared" si="18"/>
        <v>25.116578649788636</v>
      </c>
      <c r="W22" s="29">
        <f t="shared" si="19"/>
        <v>-0.26240666611972152</v>
      </c>
      <c r="X22" s="28"/>
      <c r="Y22" s="4" t="s">
        <v>18</v>
      </c>
      <c r="Z22">
        <f>Z18*EXP((-AC21*Z21*Z12)/(Z19*AA20))</f>
        <v>1.1962966927835792</v>
      </c>
      <c r="AC22" s="5"/>
    </row>
    <row r="23" spans="1:29" x14ac:dyDescent="0.3">
      <c r="A23" s="51">
        <v>0.16</v>
      </c>
      <c r="B23" s="129">
        <v>5.9763117079113321</v>
      </c>
      <c r="C23" s="28">
        <f t="shared" si="3"/>
        <v>200.00033992410502</v>
      </c>
      <c r="D23" s="28">
        <f t="shared" si="0"/>
        <v>3.1746085702238891</v>
      </c>
      <c r="E23" s="28">
        <f t="shared" si="4"/>
        <v>228.91979762825227</v>
      </c>
      <c r="F23" s="28">
        <f t="shared" si="1"/>
        <v>3.0935107787601659</v>
      </c>
      <c r="G23" s="28">
        <f t="shared" si="5"/>
        <v>199.77222533541087</v>
      </c>
      <c r="H23" s="28">
        <f t="shared" si="2"/>
        <v>3.1709877037366803</v>
      </c>
      <c r="I23" s="28">
        <f t="shared" si="6"/>
        <v>-0.22811458869415446</v>
      </c>
      <c r="J23" s="28">
        <f t="shared" si="7"/>
        <v>-3.6208664872088292E-3</v>
      </c>
      <c r="K23" s="28">
        <f t="shared" si="8"/>
        <v>28.919457704147248</v>
      </c>
      <c r="L23" s="29">
        <f t="shared" si="9"/>
        <v>-8.1097791463723201E-2</v>
      </c>
      <c r="M23" s="49">
        <v>40</v>
      </c>
      <c r="N23" s="28">
        <f t="shared" si="10"/>
        <v>282.80103855779373</v>
      </c>
      <c r="O23" s="28">
        <f t="shared" si="11"/>
        <v>4.4889053739332336</v>
      </c>
      <c r="P23" s="28">
        <f t="shared" si="12"/>
        <v>310.49848973367369</v>
      </c>
      <c r="Q23" s="28">
        <f t="shared" si="13"/>
        <v>4.1959255369415365</v>
      </c>
      <c r="R23" s="28">
        <f t="shared" si="14"/>
        <v>313.1192663942594</v>
      </c>
      <c r="S23" s="28">
        <f t="shared" si="15"/>
        <v>4.9701470856231653</v>
      </c>
      <c r="T23" s="28">
        <f t="shared" si="16"/>
        <v>30.318227836465667</v>
      </c>
      <c r="U23" s="28">
        <f t="shared" si="17"/>
        <v>0.48124171168993168</v>
      </c>
      <c r="V23" s="28">
        <f t="shared" si="18"/>
        <v>27.697451175879962</v>
      </c>
      <c r="W23" s="29">
        <f t="shared" si="19"/>
        <v>-0.29297983699169716</v>
      </c>
      <c r="X23" s="28"/>
      <c r="Y23" s="4" t="s">
        <v>9</v>
      </c>
      <c r="Z23" s="9">
        <v>5.0000000000000001E-3</v>
      </c>
      <c r="AC23" s="5"/>
    </row>
    <row r="24" spans="1:29" x14ac:dyDescent="0.3">
      <c r="A24" s="51">
        <v>0.16800000000000001</v>
      </c>
      <c r="B24" s="129">
        <v>5.7101886495203775</v>
      </c>
      <c r="C24" s="28">
        <f t="shared" si="3"/>
        <v>200.00029808217221</v>
      </c>
      <c r="D24" s="28">
        <f t="shared" si="0"/>
        <v>3.1746079060662256</v>
      </c>
      <c r="E24" s="28">
        <f t="shared" si="4"/>
        <v>228.92539729780376</v>
      </c>
      <c r="F24" s="28">
        <f t="shared" si="1"/>
        <v>3.0935864499703212</v>
      </c>
      <c r="G24" s="28">
        <f t="shared" si="5"/>
        <v>199.75871481311071</v>
      </c>
      <c r="H24" s="28">
        <f t="shared" si="2"/>
        <v>3.1707732510017572</v>
      </c>
      <c r="I24" s="28">
        <f t="shared" si="6"/>
        <v>-0.24158326906149341</v>
      </c>
      <c r="J24" s="28">
        <f t="shared" si="7"/>
        <v>-3.8346550644683397E-3</v>
      </c>
      <c r="K24" s="28">
        <f t="shared" si="8"/>
        <v>28.925099215631548</v>
      </c>
      <c r="L24" s="29">
        <f t="shared" si="9"/>
        <v>-8.1021456095904387E-2</v>
      </c>
      <c r="M24" s="49">
        <v>41.5</v>
      </c>
      <c r="N24" s="28">
        <f t="shared" si="10"/>
        <v>312.58078278333033</v>
      </c>
      <c r="O24" s="28">
        <f t="shared" si="11"/>
        <v>4.9615997267195295</v>
      </c>
      <c r="P24" s="28">
        <f t="shared" si="12"/>
        <v>343.04281018900537</v>
      </c>
      <c r="Q24" s="28">
        <f t="shared" si="13"/>
        <v>4.6357136512027752</v>
      </c>
      <c r="R24" s="28">
        <f t="shared" si="14"/>
        <v>346.24361494555643</v>
      </c>
      <c r="S24" s="28">
        <f t="shared" si="15"/>
        <v>5.4959303959612136</v>
      </c>
      <c r="T24" s="28">
        <f t="shared" si="16"/>
        <v>33.662832162226096</v>
      </c>
      <c r="U24" s="28">
        <f t="shared" si="17"/>
        <v>0.53433066924168404</v>
      </c>
      <c r="V24" s="28">
        <f t="shared" si="18"/>
        <v>30.46202740567503</v>
      </c>
      <c r="W24" s="29">
        <f t="shared" si="19"/>
        <v>-0.3258860755167543</v>
      </c>
      <c r="X24" s="28"/>
      <c r="Y24" s="4" t="s">
        <v>10</v>
      </c>
      <c r="Z24">
        <v>0.65</v>
      </c>
      <c r="AA24" s="153" t="s">
        <v>23</v>
      </c>
      <c r="AC24" s="5"/>
    </row>
    <row r="25" spans="1:29" ht="14.4" customHeight="1" thickBot="1" x14ac:dyDescent="0.35">
      <c r="A25" s="51">
        <v>0.17599999999999999</v>
      </c>
      <c r="B25" s="129">
        <v>5.4674602308403948</v>
      </c>
      <c r="C25" s="28">
        <f t="shared" si="3"/>
        <v>200.00026282174775</v>
      </c>
      <c r="D25" s="28">
        <f t="shared" si="0"/>
        <v>3.1746073463769484</v>
      </c>
      <c r="E25" s="28">
        <f t="shared" si="4"/>
        <v>228.93006914484184</v>
      </c>
      <c r="F25" s="28">
        <f t="shared" si="1"/>
        <v>3.0936495830384034</v>
      </c>
      <c r="G25" s="28">
        <f t="shared" si="5"/>
        <v>199.74744157458989</v>
      </c>
      <c r="H25" s="28">
        <f t="shared" si="2"/>
        <v>3.1705943107077759</v>
      </c>
      <c r="I25" s="28">
        <f t="shared" si="6"/>
        <v>-0.25282124715786836</v>
      </c>
      <c r="J25" s="28">
        <f t="shared" si="7"/>
        <v>-4.0130356691725488E-3</v>
      </c>
      <c r="K25" s="28">
        <f t="shared" si="8"/>
        <v>28.929806323094084</v>
      </c>
      <c r="L25" s="29">
        <f t="shared" si="9"/>
        <v>-8.0957763338544986E-2</v>
      </c>
      <c r="M25" s="49">
        <v>43</v>
      </c>
      <c r="N25" s="28">
        <f t="shared" si="10"/>
        <v>344.47797912563476</v>
      </c>
      <c r="O25" s="28">
        <f t="shared" si="11"/>
        <v>5.467904430565631</v>
      </c>
      <c r="P25" s="28">
        <f t="shared" si="12"/>
        <v>377.89517535369748</v>
      </c>
      <c r="Q25" s="28">
        <f t="shared" si="13"/>
        <v>5.1066915588337496</v>
      </c>
      <c r="R25" s="28">
        <f t="shared" si="14"/>
        <v>381.73748968769542</v>
      </c>
      <c r="S25" s="28">
        <f t="shared" si="15"/>
        <v>6.0593252331380221</v>
      </c>
      <c r="T25" s="28">
        <f t="shared" si="16"/>
        <v>37.259510562060655</v>
      </c>
      <c r="U25" s="28">
        <f t="shared" si="17"/>
        <v>0.59142080257239105</v>
      </c>
      <c r="V25" s="28">
        <f t="shared" si="18"/>
        <v>33.417196228062721</v>
      </c>
      <c r="W25" s="29">
        <f t="shared" si="19"/>
        <v>-0.36121287173188144</v>
      </c>
      <c r="X25" s="28"/>
      <c r="Y25" s="10" t="s">
        <v>14</v>
      </c>
      <c r="Z25" s="11">
        <v>0.5</v>
      </c>
      <c r="AA25" s="155"/>
      <c r="AB25" s="84" t="s">
        <v>46</v>
      </c>
      <c r="AC25" s="85">
        <v>200</v>
      </c>
    </row>
    <row r="26" spans="1:29" x14ac:dyDescent="0.3">
      <c r="A26" s="51">
        <v>0.184</v>
      </c>
      <c r="B26" s="129">
        <v>5.2452421198265595</v>
      </c>
      <c r="C26" s="28">
        <f t="shared" si="3"/>
        <v>200.00023292412175</v>
      </c>
      <c r="D26" s="28">
        <f t="shared" si="0"/>
        <v>3.1746068718114562</v>
      </c>
      <c r="E26" s="28">
        <f t="shared" si="4"/>
        <v>228.93399746963044</v>
      </c>
      <c r="F26" s="28">
        <f t="shared" si="1"/>
        <v>3.0937026685085196</v>
      </c>
      <c r="G26" s="28">
        <f t="shared" si="5"/>
        <v>199.73796154114845</v>
      </c>
      <c r="H26" s="28">
        <f t="shared" si="2"/>
        <v>3.1704438339864836</v>
      </c>
      <c r="I26" s="28">
        <f t="shared" si="6"/>
        <v>-0.26227138297329589</v>
      </c>
      <c r="J26" s="28">
        <f t="shared" si="7"/>
        <v>-4.1630378249726263E-3</v>
      </c>
      <c r="K26" s="28">
        <f t="shared" si="8"/>
        <v>28.933764545508694</v>
      </c>
      <c r="L26" s="29">
        <f t="shared" si="9"/>
        <v>-8.0904203302936573E-2</v>
      </c>
      <c r="M26" s="49">
        <v>44.5</v>
      </c>
      <c r="N26" s="28">
        <f t="shared" si="10"/>
        <v>378.56916199856596</v>
      </c>
      <c r="O26" s="28">
        <f t="shared" si="11"/>
        <v>6.0090343174375551</v>
      </c>
      <c r="P26" s="28">
        <f t="shared" si="12"/>
        <v>415.13900853049785</v>
      </c>
      <c r="Q26" s="28">
        <f t="shared" si="13"/>
        <v>5.6099866017634845</v>
      </c>
      <c r="R26" s="28">
        <f t="shared" si="14"/>
        <v>419.68653614564647</v>
      </c>
      <c r="S26" s="28">
        <f t="shared" si="15"/>
        <v>6.6616910499308961</v>
      </c>
      <c r="T26" s="28">
        <f t="shared" si="16"/>
        <v>41.117374147080511</v>
      </c>
      <c r="U26" s="28">
        <f t="shared" si="17"/>
        <v>0.652656732493341</v>
      </c>
      <c r="V26" s="28">
        <f t="shared" si="18"/>
        <v>36.569846531931887</v>
      </c>
      <c r="W26" s="29">
        <f t="shared" si="19"/>
        <v>-0.3990477156740706</v>
      </c>
      <c r="X26" s="28"/>
    </row>
    <row r="27" spans="1:29" x14ac:dyDescent="0.3">
      <c r="A27" s="51">
        <v>0.192</v>
      </c>
      <c r="B27" s="129">
        <v>5.0410992649535293</v>
      </c>
      <c r="C27" s="28">
        <f t="shared" si="3"/>
        <v>200.0002074242401</v>
      </c>
      <c r="D27" s="28">
        <f t="shared" si="0"/>
        <v>3.1746064670514302</v>
      </c>
      <c r="E27" s="28">
        <f t="shared" si="4"/>
        <v>228.93732448004613</v>
      </c>
      <c r="F27" s="28">
        <f t="shared" si="1"/>
        <v>3.0937476281087313</v>
      </c>
      <c r="G27" s="28">
        <f t="shared" si="5"/>
        <v>199.72993196554336</v>
      </c>
      <c r="H27" s="28">
        <f t="shared" si="2"/>
        <v>3.1703163804054499</v>
      </c>
      <c r="I27" s="28">
        <f t="shared" si="6"/>
        <v>-0.27027545869674441</v>
      </c>
      <c r="J27" s="28">
        <f t="shared" si="7"/>
        <v>-4.2900866459802955E-3</v>
      </c>
      <c r="K27" s="28">
        <f t="shared" si="8"/>
        <v>28.937117055806027</v>
      </c>
      <c r="L27" s="29">
        <f t="shared" si="9"/>
        <v>-8.0858838942698963E-2</v>
      </c>
      <c r="M27" s="49">
        <v>46</v>
      </c>
      <c r="N27" s="28">
        <f t="shared" si="10"/>
        <v>414.93086581598317</v>
      </c>
      <c r="O27" s="28">
        <f t="shared" si="11"/>
        <v>6.5862042193013197</v>
      </c>
      <c r="P27" s="28">
        <f t="shared" si="12"/>
        <v>454.85773302215455</v>
      </c>
      <c r="Q27" s="28">
        <f t="shared" si="13"/>
        <v>6.1467261219210076</v>
      </c>
      <c r="R27" s="28">
        <f t="shared" si="14"/>
        <v>460.17639984437966</v>
      </c>
      <c r="S27" s="28">
        <f t="shared" si="15"/>
        <v>7.3043872991171375</v>
      </c>
      <c r="T27" s="28">
        <f t="shared" si="16"/>
        <v>45.245534028396492</v>
      </c>
      <c r="U27" s="28">
        <f t="shared" si="17"/>
        <v>0.71818307981581775</v>
      </c>
      <c r="V27" s="28">
        <f t="shared" si="18"/>
        <v>39.92686720617138</v>
      </c>
      <c r="W27" s="29">
        <f t="shared" si="19"/>
        <v>-0.43947809738031207</v>
      </c>
      <c r="X27" s="28"/>
    </row>
    <row r="28" spans="1:29" ht="15" thickBot="1" x14ac:dyDescent="0.35">
      <c r="A28" s="52">
        <v>0.2</v>
      </c>
      <c r="B28" s="53">
        <v>4.8529629388434286</v>
      </c>
      <c r="C28" s="35">
        <f t="shared" si="3"/>
        <v>200.0001855533676</v>
      </c>
      <c r="D28" s="35">
        <f t="shared" si="0"/>
        <v>3.1746061198947237</v>
      </c>
      <c r="E28" s="35">
        <f t="shared" si="4"/>
        <v>228.94016104529504</v>
      </c>
      <c r="F28" s="35">
        <f t="shared" si="1"/>
        <v>3.0937859600715547</v>
      </c>
      <c r="G28" s="35">
        <f t="shared" si="5"/>
        <v>199.72308557170632</v>
      </c>
      <c r="H28" s="35">
        <f t="shared" si="2"/>
        <v>3.170207707487402</v>
      </c>
      <c r="I28" s="35">
        <f t="shared" si="6"/>
        <v>-0.27709998166128003</v>
      </c>
      <c r="J28" s="35">
        <f t="shared" si="7"/>
        <v>-4.3984124073217501E-3</v>
      </c>
      <c r="K28" s="35">
        <f t="shared" si="8"/>
        <v>28.939975491927441</v>
      </c>
      <c r="L28" s="36">
        <f t="shared" si="9"/>
        <v>-8.0820159823169035E-2</v>
      </c>
      <c r="M28" s="50">
        <v>47.5</v>
      </c>
      <c r="N28" s="35">
        <f t="shared" si="10"/>
        <v>453.63962499174539</v>
      </c>
      <c r="O28" s="35">
        <f t="shared" si="11"/>
        <v>7.2006289681229427</v>
      </c>
      <c r="P28" s="35">
        <f t="shared" si="12"/>
        <v>497.13477213141556</v>
      </c>
      <c r="Q28" s="35">
        <f t="shared" si="13"/>
        <v>6.7180374612353457</v>
      </c>
      <c r="R28" s="35">
        <f t="shared" si="14"/>
        <v>503.29272630886533</v>
      </c>
      <c r="S28" s="35">
        <f t="shared" si="15"/>
        <v>7.9887734334740532</v>
      </c>
      <c r="T28" s="35">
        <f t="shared" si="16"/>
        <v>49.653101317119933</v>
      </c>
      <c r="U28" s="35">
        <f t="shared" si="17"/>
        <v>0.78814446535111049</v>
      </c>
      <c r="V28" s="35">
        <f t="shared" si="18"/>
        <v>43.495147139670166</v>
      </c>
      <c r="W28" s="36">
        <f t="shared" si="19"/>
        <v>-0.482591506887597</v>
      </c>
      <c r="X28" s="28"/>
    </row>
    <row r="29" spans="1:29" ht="15" thickBot="1" x14ac:dyDescent="0.35"/>
    <row r="30" spans="1:29" x14ac:dyDescent="0.3">
      <c r="A30" s="156" t="s">
        <v>61</v>
      </c>
      <c r="B30" s="157"/>
      <c r="C30" s="157"/>
      <c r="D30" s="157"/>
      <c r="E30" s="157"/>
      <c r="F30" s="157"/>
      <c r="G30" s="157"/>
      <c r="H30" s="157"/>
      <c r="I30" s="158"/>
    </row>
    <row r="31" spans="1:29" ht="15.6" x14ac:dyDescent="0.3">
      <c r="A31" s="86"/>
      <c r="B31" s="87"/>
      <c r="C31" s="87"/>
      <c r="D31" s="87"/>
      <c r="E31" s="87"/>
      <c r="F31" s="87"/>
      <c r="G31" s="87"/>
      <c r="H31" s="87"/>
      <c r="I31" s="88"/>
    </row>
    <row r="32" spans="1:29" x14ac:dyDescent="0.3">
      <c r="A32" s="161" t="s">
        <v>71</v>
      </c>
      <c r="B32" s="162"/>
      <c r="C32" s="89" t="s">
        <v>62</v>
      </c>
      <c r="D32" s="55" t="s">
        <v>29</v>
      </c>
      <c r="E32" s="55" t="s">
        <v>30</v>
      </c>
      <c r="F32" s="55" t="s">
        <v>31</v>
      </c>
      <c r="G32" s="90"/>
      <c r="H32" s="90"/>
      <c r="I32" s="91"/>
    </row>
    <row r="33" spans="1:9" x14ac:dyDescent="0.3">
      <c r="A33" s="4"/>
      <c r="C33" s="92" t="s">
        <v>65</v>
      </c>
      <c r="D33" s="93">
        <f>(($AC$21*COS(ATAN(H37))*($Z$9+$Z$3+$Z$6)*$Z$23+$AC$21*SIN(ATAN(H37))*($Z$9+$Z$3+$Z$6)+0.5*$Z$13*$Z$22*((D34/3.6)+$AC$16)^2)*(D34/3.6))/(1-$AC$20)-((($AA$4-$Z$4)*(D34/3.6)^3)/(45/3.6)^3)+$Z$5-(($Z$8)*(D34/3.6)^3)/((45/3.6)^3)</f>
        <v>203.52433813297392</v>
      </c>
      <c r="E33" s="93">
        <f>(($AC$21*COS(ATAN(H37))*($Z$10+$AB$3+$AB$6)*$Z$23+$AC$21*SIN(ATAN(H37))*($Z$10+$AB$3+$AB$6)+0.5*$Z$13*$Z$22*((E34/3.6)+$AC$16)^2)*(E34/3.6))/(1-$AC$20)-((($AA$4-$AB$4)*(E34/3.6)^3)/(45/3.6)^3)+$AB$5-(($AB$8)*(E34/3.6)^3)/((45/3.6)^3)</f>
        <v>199.99999967371375</v>
      </c>
      <c r="F33" s="93">
        <f>(($AC$21*COS(ATAN(H37))*($Z$9+$AA$3+$AA$6)*$Z$23+$AC$21*SIN(ATAN(H37))*($Z$9+$AA$3+$AA$6)+0.5*$Z$13*$Z$22*((F34/3.6)+$AC$16)^2)*(F34/3.6))/(1-$AC$20)-((($AA$4-$AA$4)*(F34/3.6)^3)/(45/3.6)^3)+$AA$5-(($AA$8)*(F34/3.6)^3)/((45/3.6)^3)</f>
        <v>202.50076083168244</v>
      </c>
      <c r="G33" s="93"/>
      <c r="H33" s="93"/>
      <c r="I33" s="94"/>
    </row>
    <row r="34" spans="1:9" x14ac:dyDescent="0.3">
      <c r="A34" s="4"/>
      <c r="C34" s="95" t="s">
        <v>6</v>
      </c>
      <c r="D34" s="93">
        <v>11.668192472778786</v>
      </c>
      <c r="E34" s="93">
        <v>10.101046503074231</v>
      </c>
      <c r="F34" s="93">
        <v>11.590470546735295</v>
      </c>
      <c r="G34" s="96"/>
      <c r="H34" s="96"/>
      <c r="I34" s="97"/>
    </row>
    <row r="35" spans="1:9" x14ac:dyDescent="0.3">
      <c r="A35" s="4"/>
      <c r="B35" s="93"/>
      <c r="C35" s="92" t="s">
        <v>66</v>
      </c>
      <c r="D35" s="98">
        <v>0</v>
      </c>
      <c r="E35" s="98">
        <f>(E34-$D$34)/E34</f>
        <v>-0.15514689188170724</v>
      </c>
      <c r="F35" s="98">
        <f>(F34-$D$34)/F34</f>
        <v>-6.7056747808554844E-3</v>
      </c>
      <c r="G35" s="96"/>
      <c r="H35" s="96"/>
      <c r="I35" s="97"/>
    </row>
    <row r="36" spans="1:9" x14ac:dyDescent="0.3">
      <c r="A36" s="4"/>
      <c r="B36" s="99"/>
      <c r="C36" s="100" t="s">
        <v>25</v>
      </c>
      <c r="D36" s="93">
        <v>0</v>
      </c>
      <c r="E36" s="93">
        <f>(($H$38/D34)-($H$38/E34))*60</f>
        <v>-15.955879258281618</v>
      </c>
      <c r="F36" s="93">
        <f>(($H$38/D34)-($H$38/F34))*60</f>
        <v>-0.68963635591368089</v>
      </c>
      <c r="G36" s="101" t="s">
        <v>65</v>
      </c>
      <c r="H36" s="102">
        <v>200</v>
      </c>
      <c r="I36" s="103"/>
    </row>
    <row r="37" spans="1:9" x14ac:dyDescent="0.3">
      <c r="A37" s="4"/>
      <c r="G37" s="101" t="s">
        <v>42</v>
      </c>
      <c r="H37" s="104">
        <v>7.8E-2</v>
      </c>
      <c r="I37" s="5"/>
    </row>
    <row r="38" spans="1:9" x14ac:dyDescent="0.3">
      <c r="A38" s="159" t="s">
        <v>70</v>
      </c>
      <c r="B38" s="160"/>
      <c r="C38" s="89" t="s">
        <v>65</v>
      </c>
      <c r="D38" s="93">
        <f>(($AC$21*COS(ATAN(H37))*($Z$9+$Z$3+$Z$6)*$Z$23+$AC$21*SIN(ATAN(H37))*($Z$9+$Z$3+$Z$6)+0.5*$Z$13*$Z$22*((D40/3.6)+$AC$16)^2)*(D40/3.6))/(1-$AC$20)-((($AA$4-$Z$4)*(D40/3.6)^3)/(45/3.6)^3)+$Z$5-(($Z$8)*(D40/3.6)^3)/((45/3.6)^3)</f>
        <v>203.52433813297392</v>
      </c>
      <c r="E38" s="93">
        <f>(($AC$21*COS(ATAN(H37))*($Z$10+$AB$3+$AB$6)*$Z$23+$AC$21*SIN(ATAN(H37))*($Z$10+$AB$3+$AB$6)+0.5*$Z$13*$Z$22*((E40/3.6)+$AC$16)^2)*(E40/3.6))/(1-$AC$20)-((($AA$4-$AB$4)*(E40/3.6)^3)/(45/3.6)^3)+$AB$5-(($AB$8)*(E40/3.6)^3)/((45/3.6)^3)</f>
        <v>239.88387410582885</v>
      </c>
      <c r="F38" s="93">
        <f>(($AC$21*COS(ATAN(H37))*($Z$9+$AA$3+$AA$6)*$Z$23+$AC$21*SIN(ATAN(H37))*($Z$9+$AA$3+$AA$6)+0.5*$Z$13*$Z$22*((F40/3.6)+$AC$16)^2)*(F40/3.6))/(1-$AC$20)-((($AA$4-$AA$4)*(F40/3.6)^3)/(45/3.6)^3)+$AA$5-(($AA$8)*(F40/3.6)^3)/((45/3.6)^3)</f>
        <v>202.50036482879366</v>
      </c>
      <c r="G38" s="105" t="s">
        <v>64</v>
      </c>
      <c r="H38" s="106">
        <v>20</v>
      </c>
      <c r="I38" s="5"/>
    </row>
    <row r="39" spans="1:9" x14ac:dyDescent="0.3">
      <c r="A39" s="4"/>
      <c r="C39" s="89" t="s">
        <v>72</v>
      </c>
      <c r="D39" s="93">
        <f>D38/Z9</f>
        <v>3.230545049729745</v>
      </c>
      <c r="E39" s="93">
        <f>E38/Z10</f>
        <v>3.2416739744030925</v>
      </c>
      <c r="F39" s="93">
        <f>F38/Z9</f>
        <v>3.2142915052189469</v>
      </c>
      <c r="I39" s="5"/>
    </row>
    <row r="40" spans="1:9" x14ac:dyDescent="0.3">
      <c r="A40" s="4"/>
      <c r="C40" s="95" t="s">
        <v>6</v>
      </c>
      <c r="D40" s="93">
        <v>11.668192472778786</v>
      </c>
      <c r="E40" s="93">
        <v>12.009921991048325</v>
      </c>
      <c r="F40" s="93">
        <v>11.590449065822549</v>
      </c>
      <c r="I40" s="5"/>
    </row>
    <row r="41" spans="1:9" x14ac:dyDescent="0.3">
      <c r="A41" s="4"/>
      <c r="C41" s="92" t="s">
        <v>66</v>
      </c>
      <c r="D41" s="98">
        <v>0</v>
      </c>
      <c r="E41" s="98">
        <f>(E40-$D$34)/E40</f>
        <v>2.8453933216572823E-2</v>
      </c>
      <c r="F41" s="98">
        <f>(F40-$D$34)/F40</f>
        <v>-6.7075405374485558E-3</v>
      </c>
      <c r="I41" s="5"/>
    </row>
    <row r="42" spans="1:9" x14ac:dyDescent="0.3">
      <c r="A42" s="4"/>
      <c r="C42" s="100" t="s">
        <v>25</v>
      </c>
      <c r="D42" s="93">
        <v>0</v>
      </c>
      <c r="E42" s="93">
        <f>(($H$38/D40)-($H$38/E40))*60</f>
        <v>2.926307561307806</v>
      </c>
      <c r="F42" s="93">
        <f>(($H$38/D40)-($H$38/F40))*60</f>
        <v>-0.68982823721122521</v>
      </c>
      <c r="I42" s="5"/>
    </row>
    <row r="43" spans="1:9" ht="15" thickBot="1" x14ac:dyDescent="0.35">
      <c r="A43" s="10"/>
      <c r="B43" s="11"/>
      <c r="C43" s="11"/>
      <c r="D43" s="11"/>
      <c r="E43" s="11"/>
      <c r="F43" s="11"/>
      <c r="G43" s="11"/>
      <c r="H43" s="11"/>
      <c r="I43" s="12"/>
    </row>
  </sheetData>
  <mergeCells count="8">
    <mergeCell ref="AB17:AC18"/>
    <mergeCell ref="Y1:AC1"/>
    <mergeCell ref="AA24:AA25"/>
    <mergeCell ref="A30:I30"/>
    <mergeCell ref="A38:B38"/>
    <mergeCell ref="A32:B32"/>
    <mergeCell ref="A1:L1"/>
    <mergeCell ref="M1:W1"/>
  </mergeCells>
  <conditionalFormatting sqref="A3:L28">
    <cfRule type="expression" dxfId="1" priority="15">
      <formula>AND($K3&gt;-0.15,$K3&lt;0.15)</formula>
    </cfRule>
    <cfRule type="expression" dxfId="0" priority="16">
      <formula>AND($I3&lt;0.1,$I3&gt;-0.1)</formula>
    </cfRule>
  </conditionalFormatting>
  <conditionalFormatting sqref="J3:J28 U3:U28 L3:L28 W3:W2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14158-97F8-4391-A0BB-94B9C1C30664}">
  <sheetPr codeName="Feuil3"/>
  <dimension ref="A1:S61"/>
  <sheetViews>
    <sheetView zoomScale="64" workbookViewId="0">
      <selection activeCell="O5" sqref="O5"/>
    </sheetView>
  </sheetViews>
  <sheetFormatPr baseColWidth="10" defaultRowHeight="14.4" x14ac:dyDescent="0.3"/>
  <cols>
    <col min="1" max="2" width="14.44140625" customWidth="1"/>
    <col min="3" max="3" width="16.6640625" bestFit="1" customWidth="1"/>
    <col min="4" max="4" width="14.44140625" customWidth="1"/>
    <col min="5" max="5" width="16" bestFit="1" customWidth="1"/>
    <col min="6" max="6" width="13.77734375" bestFit="1" customWidth="1"/>
    <col min="7" max="7" width="17.33203125" bestFit="1" customWidth="1"/>
    <col min="12" max="12" width="32.109375" bestFit="1" customWidth="1"/>
    <col min="13" max="13" width="18.5546875" customWidth="1"/>
    <col min="14" max="14" width="22.109375" customWidth="1"/>
    <col min="15" max="15" width="32.88671875" bestFit="1" customWidth="1"/>
    <col min="16" max="16" width="14.88671875" customWidth="1"/>
  </cols>
  <sheetData>
    <row r="1" spans="1:19" ht="16.2" thickBot="1" x14ac:dyDescent="0.35">
      <c r="A1" s="163" t="s">
        <v>85</v>
      </c>
      <c r="B1" s="164"/>
      <c r="C1" s="164"/>
      <c r="D1" s="164"/>
      <c r="E1" s="16"/>
      <c r="F1" s="16"/>
      <c r="G1" s="16"/>
      <c r="H1" s="16"/>
      <c r="I1" s="16"/>
      <c r="J1" s="16"/>
      <c r="K1" s="16"/>
      <c r="L1" s="171" t="s">
        <v>73</v>
      </c>
      <c r="M1" s="172"/>
      <c r="N1" s="172"/>
      <c r="O1" s="172"/>
      <c r="P1" s="173"/>
      <c r="R1" s="169" t="s">
        <v>79</v>
      </c>
      <c r="S1" s="169"/>
    </row>
    <row r="2" spans="1:19" ht="15" thickBot="1" x14ac:dyDescent="0.35">
      <c r="A2" s="77" t="s">
        <v>42</v>
      </c>
      <c r="B2" s="76" t="s">
        <v>29</v>
      </c>
      <c r="C2" s="76" t="s">
        <v>30</v>
      </c>
      <c r="D2" s="113" t="s">
        <v>31</v>
      </c>
      <c r="E2" s="112" t="s">
        <v>82</v>
      </c>
      <c r="F2" s="112" t="s">
        <v>83</v>
      </c>
      <c r="G2" s="112" t="s">
        <v>84</v>
      </c>
      <c r="H2" s="16"/>
      <c r="I2" s="16"/>
      <c r="J2" s="16"/>
      <c r="K2" s="16"/>
      <c r="L2" s="121"/>
      <c r="M2" s="76" t="s">
        <v>1</v>
      </c>
      <c r="N2" s="76" t="s">
        <v>2</v>
      </c>
      <c r="O2" s="76" t="s">
        <v>20</v>
      </c>
      <c r="P2" s="122"/>
      <c r="R2" s="170" t="s">
        <v>21</v>
      </c>
      <c r="S2" s="170"/>
    </row>
    <row r="3" spans="1:19" x14ac:dyDescent="0.3">
      <c r="A3" s="51">
        <v>0</v>
      </c>
      <c r="B3" s="28">
        <v>34.809241118533706</v>
      </c>
      <c r="C3" s="28">
        <v>34.368500306781655</v>
      </c>
      <c r="D3" s="29">
        <v>33.543682492838286</v>
      </c>
      <c r="E3" s="27">
        <f>(($P$25*COS(ATAN(A3))*($M$11+$M$3+$M$8)*$P$22+$P$25*SIN(ATAN(A3))*($M$11+$M$3+$M$8)+0.5*$M$13*$M$25*((B3/3.6)+$P$18)^2)*(B3/3.6))/(1-$P$23)-((($N$4-$M$4)*(B3/3.6)^3)/(45/3.6)^3)+$M$5-(($M$7)*(B3/3.6)^3)/((45/3.6)^3)</f>
        <v>199.99999312502047</v>
      </c>
      <c r="F3" s="27">
        <f>(($P$25*COS(ATAN(A3))*($P$11+$O$3+$O$8)*$P$22+$P$25*SIN(ATAN(A3))*($P$11+$O$3+$O$8)+0.5*$P$13*$M$25*((C3/3.6)+$P$18)^2)*(C3/3.6))/(1-$P$23)-((($N$4-$O$4)*(C3/3.6)^3)/(45/3.6)^3)+$O$5-(($O$7)*(C3/3.6)^3)/((45/3.6)^3)</f>
        <v>215.00005797970238</v>
      </c>
      <c r="G3" s="27">
        <f>(($P$25*COS(ATAN(A3))*($M$11+$N$3+$N$8)*$P$22+$P$25*SIN(ATAN(A3))*($M$11+$N$3+$N$8)+0.5*$M$13*$M$25*((D3/3.6)+$P$18)^2)*(D3/3.6))/(1-$P$23)-((($N$4-$N$4)*(D3/3.6)^3)/(45/3.6)^3)+$N$5-(($N$7)*(D3/3.6)^3)/((45/3.6)^3)</f>
        <v>200.0000685046891</v>
      </c>
      <c r="H3" s="16"/>
      <c r="I3" s="16"/>
      <c r="J3" s="16"/>
      <c r="K3" s="16"/>
      <c r="L3" s="13" t="s">
        <v>92</v>
      </c>
      <c r="M3" s="123">
        <v>7.85</v>
      </c>
      <c r="N3" s="123">
        <v>7</v>
      </c>
      <c r="O3" s="124">
        <v>7.4</v>
      </c>
      <c r="P3" s="39"/>
      <c r="R3" s="110" t="s">
        <v>89</v>
      </c>
      <c r="S3" s="110">
        <v>0.40799999999999997</v>
      </c>
    </row>
    <row r="4" spans="1:19" x14ac:dyDescent="0.3">
      <c r="A4" s="51">
        <v>8.0000000000000002E-3</v>
      </c>
      <c r="B4" s="28">
        <v>31.103668579275894</v>
      </c>
      <c r="C4" s="28">
        <v>30.500429364336004</v>
      </c>
      <c r="D4" s="29">
        <v>30.122445518816274</v>
      </c>
      <c r="E4" s="27">
        <f t="shared" ref="E4:E28" si="0">(($P$25*COS(ATAN(A4))*($M$11+$M$3+$M$8)*$P$22+$P$25*SIN(ATAN(A4))*($M$11+$M$3+$M$8)+0.5*$M$13*$M$25*((B4/3.6)+$P$18)^2)*(B4/3.6))/(1-$P$23)-((($N$4-$M$4)*(B4/3.6)^3)/(45/3.6)^3)+$M$5-(($M$7)*(B4/3.6)^3)/((45/3.6)^3)</f>
        <v>199.99998719590937</v>
      </c>
      <c r="F4" s="27">
        <f t="shared" ref="F4:F28" si="1">(($P$25*COS(ATAN(A4))*($P$11+$O$3+$O$8)*$P$22+$P$25*SIN(ATAN(A4))*($P$11+$O$3+$O$8)+0.5*$P$13*$M$25*((C4/3.6)+$P$18)^2)*(C4/3.6))/(1-$P$23)-((($N$4-$O$4)*(C4/3.6)^3)/(45/3.6)^3)+$O$5-(($O$7)*(C4/3.6)^3)/((45/3.6)^3)</f>
        <v>215.00003838336156</v>
      </c>
      <c r="G4" s="27">
        <f t="shared" ref="G4:G28" si="2">(($P$25*COS(ATAN(A4))*($M$11+$N$3+$N$8)*$P$22+$P$25*SIN(ATAN(A4))*($M$11+$N$3+$N$8)+0.5*$M$13*$M$25*((D4/3.6)+$P$18)^2)*(D4/3.6))/(1-$P$23)-((($N$4-$N$4)*(D4/3.6)^3)/(45/3.6)^3)+$N$5-(($N$7)*(D4/3.6)^3)/((45/3.6)^3)</f>
        <v>200.00004007322212</v>
      </c>
      <c r="H4" s="16"/>
      <c r="I4" s="16"/>
      <c r="J4" s="16"/>
      <c r="K4" s="16"/>
      <c r="L4" s="4" t="s">
        <v>36</v>
      </c>
      <c r="M4" s="6">
        <v>204</v>
      </c>
      <c r="N4" s="6">
        <v>235</v>
      </c>
      <c r="O4" s="42">
        <v>225</v>
      </c>
      <c r="P4" s="5"/>
      <c r="R4" s="110" t="s">
        <v>90</v>
      </c>
      <c r="S4" s="110">
        <v>0.32400000000000001</v>
      </c>
    </row>
    <row r="5" spans="1:19" x14ac:dyDescent="0.3">
      <c r="A5" s="51">
        <v>1.6E-2</v>
      </c>
      <c r="B5" s="28">
        <v>27.561953626015775</v>
      </c>
      <c r="C5" s="28">
        <v>26.8245578092573</v>
      </c>
      <c r="D5" s="29">
        <v>26.839506085679812</v>
      </c>
      <c r="E5" s="27">
        <f t="shared" si="0"/>
        <v>199.99998589656551</v>
      </c>
      <c r="F5" s="27">
        <f t="shared" si="1"/>
        <v>215.00000418855416</v>
      </c>
      <c r="G5" s="27">
        <f t="shared" si="2"/>
        <v>200.00002013430063</v>
      </c>
      <c r="H5" s="16"/>
      <c r="I5" s="16"/>
      <c r="J5" s="16"/>
      <c r="K5" s="16"/>
      <c r="L5" s="4" t="s">
        <v>41</v>
      </c>
      <c r="M5" s="54">
        <v>0</v>
      </c>
      <c r="N5" s="54">
        <v>2</v>
      </c>
      <c r="O5" s="43">
        <v>0</v>
      </c>
      <c r="P5" s="5" t="s">
        <v>50</v>
      </c>
      <c r="R5" s="110" t="s">
        <v>91</v>
      </c>
      <c r="S5" s="110">
        <v>0.307</v>
      </c>
    </row>
    <row r="6" spans="1:19" x14ac:dyDescent="0.3">
      <c r="A6" s="51">
        <v>2.4E-2</v>
      </c>
      <c r="B6" s="28">
        <v>24.296260003473655</v>
      </c>
      <c r="C6" s="28">
        <v>23.469334746454589</v>
      </c>
      <c r="D6" s="29">
        <v>23.790982297383579</v>
      </c>
      <c r="E6" s="27">
        <f t="shared" si="0"/>
        <v>199.99998892836879</v>
      </c>
      <c r="F6" s="27">
        <f t="shared" si="1"/>
        <v>215.00000276576299</v>
      </c>
      <c r="G6" s="27">
        <f t="shared" si="2"/>
        <v>200.00000866317887</v>
      </c>
      <c r="H6" s="16"/>
      <c r="I6" s="16"/>
      <c r="J6" s="16"/>
      <c r="K6" s="16"/>
      <c r="L6" s="4" t="s">
        <v>38</v>
      </c>
      <c r="M6" s="31" t="s">
        <v>39</v>
      </c>
      <c r="N6" s="32" t="s">
        <v>40</v>
      </c>
      <c r="O6" s="44" t="s">
        <v>40</v>
      </c>
      <c r="P6" s="5" t="s">
        <v>49</v>
      </c>
      <c r="R6" s="110" t="s">
        <v>15</v>
      </c>
      <c r="S6" s="110">
        <v>0.29139999999999999</v>
      </c>
    </row>
    <row r="7" spans="1:19" x14ac:dyDescent="0.3">
      <c r="A7" s="51">
        <v>3.2000000000000001E-2</v>
      </c>
      <c r="B7" s="28">
        <v>21.392560581584938</v>
      </c>
      <c r="C7" s="28">
        <v>20.525936876645645</v>
      </c>
      <c r="D7" s="29">
        <v>21.05429558894582</v>
      </c>
      <c r="E7" s="27">
        <f t="shared" si="0"/>
        <v>199.99999318455826</v>
      </c>
      <c r="F7" s="27">
        <f t="shared" si="1"/>
        <v>215.00001422538713</v>
      </c>
      <c r="G7" s="27">
        <f t="shared" si="2"/>
        <v>200.00000325245108</v>
      </c>
      <c r="H7" s="16"/>
      <c r="I7" s="16"/>
      <c r="J7" s="16"/>
      <c r="K7" s="16"/>
      <c r="L7" s="107" t="s">
        <v>93</v>
      </c>
      <c r="M7" s="54">
        <v>10</v>
      </c>
      <c r="N7" s="54">
        <v>0</v>
      </c>
      <c r="O7" s="43">
        <v>0</v>
      </c>
      <c r="P7" s="5" t="s">
        <v>48</v>
      </c>
    </row>
    <row r="8" spans="1:19" x14ac:dyDescent="0.3">
      <c r="A8" s="51">
        <v>0.04</v>
      </c>
      <c r="B8" s="28">
        <v>18.887730611213112</v>
      </c>
      <c r="C8" s="28">
        <v>18.023485781309972</v>
      </c>
      <c r="D8" s="29">
        <v>18.668262519325868</v>
      </c>
      <c r="E8" s="27">
        <f t="shared" si="0"/>
        <v>199.99999643286893</v>
      </c>
      <c r="F8" s="27">
        <f t="shared" si="1"/>
        <v>215.00001935806097</v>
      </c>
      <c r="G8" s="27">
        <f t="shared" si="2"/>
        <v>200.0000011145797</v>
      </c>
      <c r="H8" s="16"/>
      <c r="I8" s="16"/>
      <c r="J8" s="16"/>
      <c r="K8" s="16"/>
      <c r="L8" s="107" t="s">
        <v>94</v>
      </c>
      <c r="M8" s="138">
        <v>2</v>
      </c>
      <c r="N8" s="138">
        <v>2</v>
      </c>
      <c r="O8" s="139">
        <v>2</v>
      </c>
      <c r="P8" s="5"/>
    </row>
    <row r="9" spans="1:19" ht="15" thickBot="1" x14ac:dyDescent="0.35">
      <c r="A9" s="51">
        <v>4.8000000000000001E-2</v>
      </c>
      <c r="B9" s="28">
        <v>16.76997356617775</v>
      </c>
      <c r="C9" s="28">
        <v>15.936016510119554</v>
      </c>
      <c r="D9" s="29">
        <v>16.630316250391548</v>
      </c>
      <c r="E9" s="27">
        <f t="shared" si="0"/>
        <v>199.99906345721524</v>
      </c>
      <c r="F9" s="27">
        <f t="shared" si="1"/>
        <v>215.00001735913906</v>
      </c>
      <c r="G9" s="27">
        <f t="shared" si="2"/>
        <v>199.99914532209939</v>
      </c>
      <c r="H9" s="16"/>
      <c r="I9" s="16"/>
      <c r="J9" s="16"/>
      <c r="K9" s="16"/>
      <c r="L9" s="10"/>
      <c r="M9" s="11"/>
      <c r="N9" s="11"/>
      <c r="O9" s="125"/>
      <c r="P9" s="12"/>
    </row>
    <row r="10" spans="1:19" ht="16.2" thickBot="1" x14ac:dyDescent="0.35">
      <c r="A10" s="51">
        <v>5.6000000000000001E-2</v>
      </c>
      <c r="B10" s="28">
        <v>14.996940470900629</v>
      </c>
      <c r="C10" s="28">
        <v>14.207651695701593</v>
      </c>
      <c r="D10" s="29">
        <v>14.909130243564089</v>
      </c>
      <c r="E10" s="27">
        <f t="shared" si="0"/>
        <v>199.99946252387656</v>
      </c>
      <c r="F10" s="27">
        <f t="shared" si="1"/>
        <v>215.00001291760137</v>
      </c>
      <c r="G10" s="27">
        <f t="shared" si="2"/>
        <v>199.99951048170701</v>
      </c>
      <c r="H10" s="16"/>
      <c r="I10" s="16"/>
      <c r="J10" s="16"/>
      <c r="K10" s="16"/>
      <c r="L10" s="174" t="s">
        <v>74</v>
      </c>
      <c r="M10" s="175"/>
      <c r="N10" s="175"/>
      <c r="O10" s="175"/>
      <c r="P10" s="176"/>
    </row>
    <row r="11" spans="1:19" x14ac:dyDescent="0.3">
      <c r="A11" s="51">
        <v>6.4000000000000001E-2</v>
      </c>
      <c r="B11" s="28">
        <v>13.514782356291935</v>
      </c>
      <c r="C11" s="28">
        <v>12.775365305465392</v>
      </c>
      <c r="D11" s="29">
        <v>13.460206412238435</v>
      </c>
      <c r="E11" s="27">
        <f t="shared" si="0"/>
        <v>199.9996881777746</v>
      </c>
      <c r="F11" s="27">
        <f t="shared" si="1"/>
        <v>215.00000882287281</v>
      </c>
      <c r="G11" s="27">
        <f t="shared" si="2"/>
        <v>199.99971573787826</v>
      </c>
      <c r="H11" s="16"/>
      <c r="I11" s="16"/>
      <c r="J11" s="16"/>
      <c r="K11" s="16"/>
      <c r="L11" s="4" t="s">
        <v>75</v>
      </c>
      <c r="M11" s="6">
        <v>63</v>
      </c>
      <c r="N11" s="1"/>
      <c r="O11" t="s">
        <v>55</v>
      </c>
      <c r="P11" s="14">
        <v>74</v>
      </c>
    </row>
    <row r="12" spans="1:19" x14ac:dyDescent="0.3">
      <c r="A12" s="51">
        <v>7.1999999999999995E-2</v>
      </c>
      <c r="B12" s="28">
        <v>12.271185930048759</v>
      </c>
      <c r="C12" s="28">
        <v>11.581489987010416</v>
      </c>
      <c r="D12" s="29">
        <v>12.237912229782205</v>
      </c>
      <c r="E12" s="27">
        <f t="shared" si="0"/>
        <v>199.99981519378824</v>
      </c>
      <c r="F12" s="27">
        <f t="shared" si="1"/>
        <v>215.00000581995451</v>
      </c>
      <c r="G12" s="27">
        <f t="shared" si="2"/>
        <v>199.99983121606326</v>
      </c>
      <c r="H12" s="16"/>
      <c r="I12" s="16"/>
      <c r="J12" s="16"/>
      <c r="K12" s="16"/>
      <c r="L12" s="4" t="s">
        <v>65</v>
      </c>
      <c r="M12" s="6">
        <v>200</v>
      </c>
      <c r="O12" t="s">
        <v>65</v>
      </c>
      <c r="P12" s="14">
        <v>215</v>
      </c>
    </row>
    <row r="13" spans="1:19" x14ac:dyDescent="0.3">
      <c r="A13" s="51">
        <v>0.08</v>
      </c>
      <c r="B13" s="28">
        <v>11.220804316418389</v>
      </c>
      <c r="C13" s="28">
        <v>10.578035729817191</v>
      </c>
      <c r="D13" s="29">
        <v>11.20128796362399</v>
      </c>
      <c r="E13" s="27">
        <f t="shared" si="0"/>
        <v>199.99988757119496</v>
      </c>
      <c r="F13" s="27">
        <f t="shared" si="1"/>
        <v>215.0000038079987</v>
      </c>
      <c r="G13" s="27">
        <f t="shared" si="2"/>
        <v>199.99989711844145</v>
      </c>
      <c r="H13" s="16"/>
      <c r="I13" s="16"/>
      <c r="J13" s="16"/>
      <c r="K13" s="16"/>
      <c r="L13" s="4" t="s">
        <v>47</v>
      </c>
      <c r="M13" s="6">
        <v>0.32500000000000001</v>
      </c>
      <c r="O13" t="s">
        <v>47</v>
      </c>
      <c r="P13" s="14">
        <v>0.33</v>
      </c>
    </row>
    <row r="14" spans="1:19" x14ac:dyDescent="0.3">
      <c r="A14" s="51">
        <v>8.7999999999999995E-2</v>
      </c>
      <c r="B14" s="28">
        <v>10.326502833129519</v>
      </c>
      <c r="C14" s="28">
        <v>9.7268044498212198</v>
      </c>
      <c r="D14" s="29">
        <v>10.315967786065814</v>
      </c>
      <c r="E14" s="27">
        <f t="shared" si="0"/>
        <v>199.99992969057973</v>
      </c>
      <c r="F14" s="27">
        <f t="shared" si="1"/>
        <v>215.00000250609892</v>
      </c>
      <c r="G14" s="27">
        <f t="shared" si="2"/>
        <v>199.99993613430419</v>
      </c>
      <c r="H14" s="16"/>
      <c r="I14" s="16"/>
      <c r="J14" s="16"/>
      <c r="K14" s="16"/>
      <c r="L14" s="4" t="s">
        <v>72</v>
      </c>
      <c r="M14" s="19">
        <f>M12/M11</f>
        <v>3.1746031746031744</v>
      </c>
      <c r="O14" t="s">
        <v>72</v>
      </c>
      <c r="P14" s="114">
        <f>P12/P11</f>
        <v>2.9054054054054053</v>
      </c>
    </row>
    <row r="15" spans="1:19" ht="15" thickBot="1" x14ac:dyDescent="0.35">
      <c r="A15" s="51">
        <v>9.6000000000000002E-2</v>
      </c>
      <c r="B15" s="28">
        <v>9.558679565435213</v>
      </c>
      <c r="C15" s="28">
        <v>8.9979608915362448</v>
      </c>
      <c r="D15" s="29">
        <v>9.5540739830326249</v>
      </c>
      <c r="E15" s="27">
        <f t="shared" si="0"/>
        <v>199.99995482030522</v>
      </c>
      <c r="F15" s="27">
        <f t="shared" si="1"/>
        <v>215.00000167065795</v>
      </c>
      <c r="G15" s="27">
        <f t="shared" si="2"/>
        <v>199.9999589196905</v>
      </c>
      <c r="H15" s="16"/>
      <c r="I15" s="16"/>
      <c r="J15" s="16"/>
      <c r="K15" s="16"/>
      <c r="L15" s="10"/>
      <c r="M15" s="115"/>
      <c r="N15" s="11"/>
      <c r="O15" s="11"/>
      <c r="P15" s="12"/>
    </row>
    <row r="16" spans="1:19" ht="16.2" thickBot="1" x14ac:dyDescent="0.35">
      <c r="A16" s="51">
        <v>0.104</v>
      </c>
      <c r="B16" s="28">
        <v>8.8939878518436757</v>
      </c>
      <c r="C16" s="28">
        <v>8.3683228454964365</v>
      </c>
      <c r="D16" s="29">
        <v>8.893335349683932</v>
      </c>
      <c r="E16" s="27">
        <f t="shared" si="0"/>
        <v>199.99997020914353</v>
      </c>
      <c r="F16" s="27">
        <f t="shared" si="1"/>
        <v>215.00000113185217</v>
      </c>
      <c r="G16" s="27">
        <f t="shared" si="2"/>
        <v>199.99997288925093</v>
      </c>
      <c r="H16" s="16"/>
      <c r="I16" s="16"/>
      <c r="J16" s="16"/>
      <c r="K16" s="16"/>
      <c r="L16" s="177" t="s">
        <v>76</v>
      </c>
      <c r="M16" s="178"/>
      <c r="N16" s="178"/>
      <c r="O16" s="178"/>
      <c r="P16" s="179"/>
    </row>
    <row r="17" spans="1:18" ht="14.4" customHeight="1" x14ac:dyDescent="0.3">
      <c r="A17" s="51">
        <v>0.112</v>
      </c>
      <c r="B17" s="28">
        <v>8.3140447898587233</v>
      </c>
      <c r="C17" s="28">
        <v>7.8198386738251342</v>
      </c>
      <c r="D17" s="29">
        <v>8.3160461833572885</v>
      </c>
      <c r="E17" s="27">
        <f t="shared" si="0"/>
        <v>199.99997987781822</v>
      </c>
      <c r="F17" s="27">
        <f t="shared" si="1"/>
        <v>215.0000007802447</v>
      </c>
      <c r="G17" s="27">
        <f t="shared" si="2"/>
        <v>199.99998167499487</v>
      </c>
      <c r="H17" s="16"/>
      <c r="I17" s="16"/>
      <c r="J17" s="16"/>
      <c r="K17" s="16"/>
      <c r="L17" s="4" t="s">
        <v>69</v>
      </c>
      <c r="M17" s="6">
        <v>100</v>
      </c>
      <c r="O17" t="s">
        <v>17</v>
      </c>
      <c r="P17" s="14">
        <v>0</v>
      </c>
      <c r="Q17" s="153" t="s">
        <v>88</v>
      </c>
      <c r="R17" s="153"/>
    </row>
    <row r="18" spans="1:18" x14ac:dyDescent="0.3">
      <c r="A18" s="51">
        <v>0.12</v>
      </c>
      <c r="B18" s="28">
        <v>7.8043271999373687</v>
      </c>
      <c r="C18" s="28">
        <v>7.3383664268089195</v>
      </c>
      <c r="D18" s="29">
        <v>7.808115622163827</v>
      </c>
      <c r="E18" s="27">
        <f t="shared" si="0"/>
        <v>199.99998610324155</v>
      </c>
      <c r="F18" s="27">
        <f t="shared" si="1"/>
        <v>215.00000054732908</v>
      </c>
      <c r="G18" s="27">
        <f t="shared" si="2"/>
        <v>199.99998733714474</v>
      </c>
      <c r="H18" s="16"/>
      <c r="I18" s="16"/>
      <c r="J18" s="16"/>
      <c r="K18" s="16"/>
      <c r="L18" s="4" t="s">
        <v>12</v>
      </c>
      <c r="M18" s="6">
        <v>20</v>
      </c>
      <c r="O18" t="s">
        <v>16</v>
      </c>
      <c r="P18" s="5">
        <f>P17/3.6</f>
        <v>0</v>
      </c>
      <c r="Q18" s="153"/>
      <c r="R18" s="153"/>
    </row>
    <row r="19" spans="1:18" x14ac:dyDescent="0.3">
      <c r="A19" s="51">
        <v>0.128</v>
      </c>
      <c r="B19" s="28">
        <v>7.3532914227012931</v>
      </c>
      <c r="C19" s="28">
        <v>6.9127379343921556</v>
      </c>
      <c r="D19" s="29">
        <v>7.3582802816995256</v>
      </c>
      <c r="E19" s="27">
        <f t="shared" si="0"/>
        <v>199.99999020490179</v>
      </c>
      <c r="F19" s="27">
        <f t="shared" si="1"/>
        <v>215.00000039050079</v>
      </c>
      <c r="G19" s="27">
        <f t="shared" si="2"/>
        <v>199.99999107041731</v>
      </c>
      <c r="H19" s="16"/>
      <c r="I19" s="16"/>
      <c r="J19" s="16"/>
      <c r="K19" s="16"/>
      <c r="L19" s="4" t="s">
        <v>78</v>
      </c>
      <c r="M19">
        <f>M18+273.15</f>
        <v>293.14999999999998</v>
      </c>
      <c r="P19" s="5"/>
      <c r="Q19" s="111"/>
      <c r="R19" s="111"/>
    </row>
    <row r="20" spans="1:18" ht="15" thickBot="1" x14ac:dyDescent="0.35">
      <c r="A20" s="51">
        <v>0.13600000000000001</v>
      </c>
      <c r="B20" s="28">
        <v>6.9516935495733012</v>
      </c>
      <c r="C20" s="28">
        <v>6.5340549416108979</v>
      </c>
      <c r="D20" s="29">
        <v>6.9574808498052061</v>
      </c>
      <c r="E20" s="27">
        <f t="shared" si="0"/>
        <v>199.99999296572764</v>
      </c>
      <c r="F20" s="27">
        <f t="shared" si="1"/>
        <v>215.00000028314003</v>
      </c>
      <c r="G20" s="27">
        <f t="shared" si="2"/>
        <v>199.99999358481173</v>
      </c>
      <c r="H20" s="16"/>
      <c r="I20" s="16"/>
      <c r="J20" s="16"/>
      <c r="K20" s="16"/>
      <c r="L20" s="10"/>
      <c r="M20" s="11"/>
      <c r="N20" s="11"/>
      <c r="O20" s="11"/>
      <c r="P20" s="12"/>
      <c r="Q20" s="111"/>
      <c r="R20" s="111"/>
    </row>
    <row r="21" spans="1:18" ht="16.2" thickBot="1" x14ac:dyDescent="0.35">
      <c r="A21" s="51">
        <v>0.14399999999999999</v>
      </c>
      <c r="B21" s="28">
        <v>6.5920715802725347</v>
      </c>
      <c r="C21" s="28">
        <v>6.1951630029896219</v>
      </c>
      <c r="D21" s="29">
        <v>6.5983787916395782</v>
      </c>
      <c r="E21" s="27">
        <f t="shared" si="0"/>
        <v>199.99999486117903</v>
      </c>
      <c r="F21" s="27">
        <f t="shared" si="1"/>
        <v>215.00000020844018</v>
      </c>
      <c r="G21" s="27">
        <f t="shared" si="2"/>
        <v>199.9999953119497</v>
      </c>
      <c r="H21" s="16"/>
      <c r="I21" s="16"/>
      <c r="J21" s="16"/>
      <c r="K21" s="16"/>
      <c r="L21" s="180" t="s">
        <v>77</v>
      </c>
      <c r="M21" s="181"/>
      <c r="N21" s="181"/>
      <c r="O21" s="181"/>
      <c r="P21" s="182"/>
    </row>
    <row r="22" spans="1:18" x14ac:dyDescent="0.3">
      <c r="A22" s="51">
        <v>0.152</v>
      </c>
      <c r="B22" s="28">
        <v>6.268352539347827</v>
      </c>
      <c r="C22" s="28">
        <v>5.8902826073825691</v>
      </c>
      <c r="D22" s="29">
        <v>6.274984921089759</v>
      </c>
      <c r="E22" s="27">
        <f t="shared" si="0"/>
        <v>199.9999961864973</v>
      </c>
      <c r="F22" s="27">
        <f t="shared" si="1"/>
        <v>215.00090812835595</v>
      </c>
      <c r="G22" s="27">
        <f t="shared" si="2"/>
        <v>199.99999652009166</v>
      </c>
      <c r="H22" s="16"/>
      <c r="I22" s="16"/>
      <c r="J22" s="16"/>
      <c r="K22" s="16"/>
      <c r="L22" s="7" t="s">
        <v>81</v>
      </c>
      <c r="M22">
        <v>1.2250000000000001</v>
      </c>
      <c r="O22" t="s">
        <v>9</v>
      </c>
      <c r="P22" s="116">
        <v>5.0000000000000001E-3</v>
      </c>
    </row>
    <row r="23" spans="1:18" x14ac:dyDescent="0.3">
      <c r="A23" s="51">
        <v>0.16</v>
      </c>
      <c r="B23" s="28">
        <v>5.9755540165162175</v>
      </c>
      <c r="C23" s="28">
        <v>5.6146105514885356</v>
      </c>
      <c r="D23" s="29">
        <v>5.9823744634030209</v>
      </c>
      <c r="E23" s="27">
        <f t="shared" si="0"/>
        <v>199.99999712892381</v>
      </c>
      <c r="F23" s="27">
        <f t="shared" si="1"/>
        <v>215.00079024273225</v>
      </c>
      <c r="G23" s="27">
        <f t="shared" si="2"/>
        <v>199.99999737949852</v>
      </c>
      <c r="H23" s="16"/>
      <c r="I23" s="16"/>
      <c r="J23" s="16"/>
      <c r="K23" s="16"/>
      <c r="L23" s="4" t="s">
        <v>11</v>
      </c>
      <c r="M23">
        <v>8.3144500000000008</v>
      </c>
      <c r="O23" t="s">
        <v>5</v>
      </c>
      <c r="P23" s="8">
        <v>0.03</v>
      </c>
    </row>
    <row r="24" spans="1:18" x14ac:dyDescent="0.3">
      <c r="A24" s="51">
        <v>0.16800000000000001</v>
      </c>
      <c r="B24" s="28">
        <v>5.7095564552628</v>
      </c>
      <c r="C24" s="28">
        <v>5.3642576443054564</v>
      </c>
      <c r="D24" s="29">
        <v>5.7164679981820248</v>
      </c>
      <c r="E24" s="27">
        <f t="shared" si="0"/>
        <v>199.99999780958547</v>
      </c>
      <c r="F24" s="27">
        <f t="shared" si="1"/>
        <v>215.00069188902754</v>
      </c>
      <c r="G24" s="27">
        <f t="shared" si="2"/>
        <v>199.99999800038424</v>
      </c>
      <c r="H24" s="16"/>
      <c r="I24" s="16"/>
      <c r="J24" s="16"/>
      <c r="K24" s="16"/>
      <c r="L24" s="7" t="s">
        <v>44</v>
      </c>
      <c r="M24">
        <v>2.8964400000000001E-2</v>
      </c>
      <c r="P24" s="5"/>
    </row>
    <row r="25" spans="1:18" x14ac:dyDescent="0.3">
      <c r="A25" s="51">
        <v>0.17599999999999999</v>
      </c>
      <c r="B25" s="28">
        <v>5.4669283675479461</v>
      </c>
      <c r="C25" s="28">
        <v>5.1359649727984626</v>
      </c>
      <c r="D25" s="29">
        <v>5.4738622981912233</v>
      </c>
      <c r="E25" s="27">
        <f t="shared" si="0"/>
        <v>199.99999830830734</v>
      </c>
      <c r="F25" s="27">
        <f t="shared" si="1"/>
        <v>215.00060925162944</v>
      </c>
      <c r="G25" s="27">
        <f t="shared" si="2"/>
        <v>199.99999845542237</v>
      </c>
      <c r="H25" s="16"/>
      <c r="I25" s="16"/>
      <c r="J25" s="16"/>
      <c r="K25" s="16"/>
      <c r="L25" s="4" t="s">
        <v>80</v>
      </c>
      <c r="M25">
        <f>M22*EXP((-P25*M24*M17)/(M23*M19))</f>
        <v>1.2108080798932019</v>
      </c>
      <c r="O25" t="s">
        <v>7</v>
      </c>
      <c r="P25" s="5">
        <v>9.8059999999999992</v>
      </c>
    </row>
    <row r="26" spans="1:18" x14ac:dyDescent="0.3">
      <c r="A26" s="51">
        <v>0.184</v>
      </c>
      <c r="B26" s="28">
        <v>5.2447912369726373</v>
      </c>
      <c r="C26" s="28">
        <v>4.9270027223047883</v>
      </c>
      <c r="D26" s="29">
        <v>5.2516989419481233</v>
      </c>
      <c r="E26" s="27">
        <f t="shared" si="0"/>
        <v>199.99999867861575</v>
      </c>
      <c r="F26" s="27">
        <f t="shared" si="1"/>
        <v>215.00053935566532</v>
      </c>
      <c r="G26" s="27">
        <f t="shared" si="2"/>
        <v>199.9999987933671</v>
      </c>
      <c r="H26" s="16"/>
      <c r="I26" s="16"/>
      <c r="J26" s="16"/>
      <c r="K26" s="16"/>
      <c r="L26" s="4"/>
      <c r="P26" s="5"/>
    </row>
    <row r="27" spans="1:18" ht="15" thickBot="1" x14ac:dyDescent="0.35">
      <c r="A27" s="51">
        <v>0.192</v>
      </c>
      <c r="B27" s="28">
        <v>5.0407143239064034</v>
      </c>
      <c r="C27" s="28">
        <v>4.7350685033195585</v>
      </c>
      <c r="D27" s="29">
        <v>5.0475616003631609</v>
      </c>
      <c r="E27" s="27">
        <f t="shared" si="0"/>
        <v>199.99999895698787</v>
      </c>
      <c r="F27" s="27">
        <f t="shared" si="1"/>
        <v>215.0004798645447</v>
      </c>
      <c r="G27" s="27">
        <f t="shared" si="2"/>
        <v>199.99999904745667</v>
      </c>
      <c r="H27" s="16"/>
      <c r="I27" s="16"/>
      <c r="J27" s="16"/>
      <c r="K27" s="16"/>
      <c r="L27" s="10"/>
      <c r="M27" s="11"/>
      <c r="N27" s="11"/>
      <c r="O27" s="11"/>
      <c r="P27" s="12"/>
    </row>
    <row r="28" spans="1:18" ht="15" thickBot="1" x14ac:dyDescent="0.35">
      <c r="A28" s="52">
        <v>0.2</v>
      </c>
      <c r="B28" s="35">
        <v>4.8526321354285118</v>
      </c>
      <c r="C28" s="35">
        <v>4.5582078776062724</v>
      </c>
      <c r="D28" s="36">
        <v>4.8593951891774436</v>
      </c>
      <c r="E28" s="27">
        <f t="shared" si="0"/>
        <v>199.9999991686602</v>
      </c>
      <c r="F28" s="27">
        <f t="shared" si="1"/>
        <v>215.00042892941187</v>
      </c>
      <c r="G28" s="27">
        <f t="shared" si="2"/>
        <v>199.99999924069488</v>
      </c>
      <c r="H28" s="16"/>
      <c r="I28" s="16"/>
      <c r="J28" s="16"/>
      <c r="K28" s="16"/>
      <c r="N28" s="153"/>
    </row>
    <row r="29" spans="1:18" ht="15.6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N29" s="153"/>
      <c r="O29" s="108"/>
      <c r="P29" s="109"/>
    </row>
    <row r="30" spans="1:18" x14ac:dyDescent="0.3">
      <c r="A30" s="112" t="s">
        <v>42</v>
      </c>
      <c r="B30" s="112" t="s">
        <v>86</v>
      </c>
      <c r="C30" s="112" t="s">
        <v>87</v>
      </c>
      <c r="D30" s="16"/>
    </row>
    <row r="31" spans="1:18" x14ac:dyDescent="0.3">
      <c r="A31" s="126">
        <v>0</v>
      </c>
      <c r="B31" s="27">
        <f>C3-B3</f>
        <v>-0.44074081175205038</v>
      </c>
      <c r="C31" s="27">
        <f>D3-B3</f>
        <v>-1.2655586256954194</v>
      </c>
      <c r="D31" s="16"/>
    </row>
    <row r="32" spans="1:18" x14ac:dyDescent="0.3">
      <c r="A32" s="126">
        <v>8.0000000000000002E-3</v>
      </c>
      <c r="B32" s="27">
        <f t="shared" ref="B32:B56" si="3">C4-B4</f>
        <v>-0.60323921493989019</v>
      </c>
      <c r="C32" s="27">
        <f t="shared" ref="C32:C56" si="4">D4-B4</f>
        <v>-0.98122306045961949</v>
      </c>
      <c r="D32" s="16"/>
    </row>
    <row r="33" spans="1:4" x14ac:dyDescent="0.3">
      <c r="A33" s="126">
        <v>1.6E-2</v>
      </c>
      <c r="B33" s="27">
        <f t="shared" si="3"/>
        <v>-0.73739581675847532</v>
      </c>
      <c r="C33" s="27">
        <f t="shared" si="4"/>
        <v>-0.72244754033596337</v>
      </c>
      <c r="D33" s="16"/>
    </row>
    <row r="34" spans="1:4" x14ac:dyDescent="0.3">
      <c r="A34" s="126">
        <v>2.4E-2</v>
      </c>
      <c r="B34" s="27">
        <f t="shared" si="3"/>
        <v>-0.82692525701906661</v>
      </c>
      <c r="C34" s="27">
        <f t="shared" si="4"/>
        <v>-0.50527770609007661</v>
      </c>
      <c r="D34" s="16"/>
    </row>
    <row r="35" spans="1:4" x14ac:dyDescent="0.3">
      <c r="A35" s="126">
        <v>3.2000000000000001E-2</v>
      </c>
      <c r="B35" s="27">
        <f t="shared" si="3"/>
        <v>-0.8666237049392933</v>
      </c>
      <c r="C35" s="27">
        <f t="shared" si="4"/>
        <v>-0.33826499263911813</v>
      </c>
      <c r="D35" s="16"/>
    </row>
    <row r="36" spans="1:4" x14ac:dyDescent="0.3">
      <c r="A36" s="126">
        <v>0.04</v>
      </c>
      <c r="B36" s="27">
        <f t="shared" si="3"/>
        <v>-0.86424482990313933</v>
      </c>
      <c r="C36" s="27">
        <f t="shared" si="4"/>
        <v>-0.21946809188724359</v>
      </c>
      <c r="D36" s="16"/>
    </row>
    <row r="37" spans="1:4" x14ac:dyDescent="0.3">
      <c r="A37" s="126">
        <v>4.8000000000000001E-2</v>
      </c>
      <c r="B37" s="27">
        <f t="shared" si="3"/>
        <v>-0.83395705605819614</v>
      </c>
      <c r="C37" s="27">
        <f t="shared" si="4"/>
        <v>-0.13965731578620222</v>
      </c>
      <c r="D37" s="16"/>
    </row>
    <row r="38" spans="1:4" x14ac:dyDescent="0.3">
      <c r="A38" s="126">
        <v>5.6000000000000001E-2</v>
      </c>
      <c r="B38" s="27">
        <f t="shared" si="3"/>
        <v>-0.78928877519903651</v>
      </c>
      <c r="C38" s="27">
        <f t="shared" si="4"/>
        <v>-8.7810227336539981E-2</v>
      </c>
      <c r="D38" s="16"/>
    </row>
    <row r="39" spans="1:4" x14ac:dyDescent="0.3">
      <c r="A39" s="126">
        <v>6.4000000000000001E-2</v>
      </c>
      <c r="B39" s="27">
        <f t="shared" si="3"/>
        <v>-0.73941705082654252</v>
      </c>
      <c r="C39" s="27">
        <f t="shared" si="4"/>
        <v>-5.4575944053500081E-2</v>
      </c>
      <c r="D39" s="16"/>
    </row>
    <row r="40" spans="1:4" x14ac:dyDescent="0.3">
      <c r="A40" s="126">
        <v>7.1999999999999995E-2</v>
      </c>
      <c r="B40" s="27">
        <f t="shared" si="3"/>
        <v>-0.68969594303834292</v>
      </c>
      <c r="C40" s="27">
        <f t="shared" si="4"/>
        <v>-3.3273700266553519E-2</v>
      </c>
      <c r="D40" s="16"/>
    </row>
    <row r="41" spans="1:4" x14ac:dyDescent="0.3">
      <c r="A41" s="126">
        <v>0.08</v>
      </c>
      <c r="B41" s="27">
        <f t="shared" si="3"/>
        <v>-0.64276858660119807</v>
      </c>
      <c r="C41" s="27">
        <f t="shared" si="4"/>
        <v>-1.9516352794399339E-2</v>
      </c>
      <c r="D41" s="16"/>
    </row>
    <row r="42" spans="1:4" x14ac:dyDescent="0.3">
      <c r="A42" s="126">
        <v>8.7999999999999995E-2</v>
      </c>
      <c r="B42" s="27">
        <f t="shared" si="3"/>
        <v>-0.59969838330829894</v>
      </c>
      <c r="C42" s="27">
        <f t="shared" si="4"/>
        <v>-1.0535047063704894E-2</v>
      </c>
      <c r="D42" s="16"/>
    </row>
    <row r="43" spans="1:4" x14ac:dyDescent="0.3">
      <c r="A43" s="126">
        <v>9.6000000000000002E-2</v>
      </c>
      <c r="B43" s="27">
        <f t="shared" si="3"/>
        <v>-0.56071867389896823</v>
      </c>
      <c r="C43" s="27">
        <f t="shared" si="4"/>
        <v>-4.6055824025881265E-3</v>
      </c>
      <c r="D43" s="16"/>
    </row>
    <row r="44" spans="1:4" x14ac:dyDescent="0.3">
      <c r="A44" s="126">
        <v>0.104</v>
      </c>
      <c r="B44" s="27">
        <f t="shared" si="3"/>
        <v>-0.52566500634723923</v>
      </c>
      <c r="C44" s="27">
        <f t="shared" si="4"/>
        <v>-6.5250215974366199E-4</v>
      </c>
      <c r="D44" s="16"/>
    </row>
    <row r="45" spans="1:4" x14ac:dyDescent="0.3">
      <c r="A45" s="126">
        <v>0.112</v>
      </c>
      <c r="B45" s="27">
        <f t="shared" si="3"/>
        <v>-0.4942061160335891</v>
      </c>
      <c r="C45" s="27">
        <f t="shared" si="4"/>
        <v>2.0013934985652071E-3</v>
      </c>
      <c r="D45" s="16"/>
    </row>
    <row r="46" spans="1:4" x14ac:dyDescent="0.3">
      <c r="A46" s="126">
        <v>0.12</v>
      </c>
      <c r="B46" s="27">
        <f t="shared" si="3"/>
        <v>-0.46596077312844919</v>
      </c>
      <c r="C46" s="27">
        <f t="shared" si="4"/>
        <v>3.7884222264583656E-3</v>
      </c>
      <c r="D46" s="16"/>
    </row>
    <row r="47" spans="1:4" x14ac:dyDescent="0.3">
      <c r="A47" s="126">
        <v>0.128</v>
      </c>
      <c r="B47" s="27">
        <f t="shared" si="3"/>
        <v>-0.44055348830913754</v>
      </c>
      <c r="C47" s="27">
        <f t="shared" si="4"/>
        <v>4.9888589982325371E-3</v>
      </c>
      <c r="D47" s="16"/>
    </row>
    <row r="48" spans="1:4" x14ac:dyDescent="0.3">
      <c r="A48" s="126">
        <v>0.13600000000000001</v>
      </c>
      <c r="B48" s="27">
        <f t="shared" si="3"/>
        <v>-0.41763860796240326</v>
      </c>
      <c r="C48" s="27">
        <f t="shared" si="4"/>
        <v>5.7873002319048794E-3</v>
      </c>
      <c r="D48" s="16"/>
    </row>
    <row r="49" spans="1:4" x14ac:dyDescent="0.3">
      <c r="A49" s="126">
        <v>0.14399999999999999</v>
      </c>
      <c r="B49" s="27">
        <f t="shared" si="3"/>
        <v>-0.39690857728291284</v>
      </c>
      <c r="C49" s="27">
        <f t="shared" si="4"/>
        <v>6.307211367043486E-3</v>
      </c>
      <c r="D49" s="16"/>
    </row>
    <row r="50" spans="1:4" x14ac:dyDescent="0.3">
      <c r="A50" s="126">
        <v>0.152</v>
      </c>
      <c r="B50" s="27">
        <f t="shared" si="3"/>
        <v>-0.37806993196525784</v>
      </c>
      <c r="C50" s="27">
        <f t="shared" si="4"/>
        <v>6.6323817419320363E-3</v>
      </c>
      <c r="D50" s="16"/>
    </row>
    <row r="51" spans="1:4" x14ac:dyDescent="0.3">
      <c r="A51" s="126">
        <v>0.16</v>
      </c>
      <c r="B51" s="27">
        <f t="shared" si="3"/>
        <v>-0.36094346502768193</v>
      </c>
      <c r="C51" s="27">
        <f t="shared" si="4"/>
        <v>6.8204468868033885E-3</v>
      </c>
      <c r="D51" s="16"/>
    </row>
    <row r="52" spans="1:4" x14ac:dyDescent="0.3">
      <c r="A52" s="126">
        <v>0.16800000000000001</v>
      </c>
      <c r="B52" s="27">
        <f t="shared" si="3"/>
        <v>-0.3452988109573436</v>
      </c>
      <c r="C52" s="27">
        <f t="shared" si="4"/>
        <v>6.9115429192248001E-3</v>
      </c>
      <c r="D52" s="16"/>
    </row>
    <row r="53" spans="1:4" x14ac:dyDescent="0.3">
      <c r="A53" s="126">
        <v>0.17599999999999999</v>
      </c>
      <c r="B53" s="27">
        <f t="shared" si="3"/>
        <v>-0.33096339474948344</v>
      </c>
      <c r="C53" s="27">
        <f t="shared" si="4"/>
        <v>6.9339306432771863E-3</v>
      </c>
      <c r="D53" s="16"/>
    </row>
    <row r="54" spans="1:4" x14ac:dyDescent="0.3">
      <c r="A54" s="126">
        <v>0.184</v>
      </c>
      <c r="B54" s="27">
        <f t="shared" si="3"/>
        <v>-0.31778851466784896</v>
      </c>
      <c r="C54" s="27">
        <f t="shared" si="4"/>
        <v>6.9077049754859843E-3</v>
      </c>
      <c r="D54" s="16"/>
    </row>
    <row r="55" spans="1:4" x14ac:dyDescent="0.3">
      <c r="A55" s="126">
        <v>0.192</v>
      </c>
      <c r="B55" s="27">
        <f t="shared" si="3"/>
        <v>-0.30564582058684486</v>
      </c>
      <c r="C55" s="27">
        <f t="shared" si="4"/>
        <v>6.8472764567575339E-3</v>
      </c>
      <c r="D55" s="16"/>
    </row>
    <row r="56" spans="1:4" x14ac:dyDescent="0.3">
      <c r="A56" s="126">
        <v>0.2</v>
      </c>
      <c r="B56" s="27">
        <f t="shared" si="3"/>
        <v>-0.29442425782223935</v>
      </c>
      <c r="C56" s="27">
        <f t="shared" si="4"/>
        <v>6.7630537489318243E-3</v>
      </c>
      <c r="D56" s="16"/>
    </row>
    <row r="57" spans="1:4" x14ac:dyDescent="0.3">
      <c r="A57" s="16"/>
      <c r="B57" s="16"/>
      <c r="C57" s="16"/>
      <c r="D57" s="16"/>
    </row>
    <row r="58" spans="1:4" x14ac:dyDescent="0.3">
      <c r="A58" s="16"/>
      <c r="B58" s="16"/>
      <c r="C58" s="16"/>
      <c r="D58" s="16"/>
    </row>
    <row r="59" spans="1:4" x14ac:dyDescent="0.3">
      <c r="A59" s="16"/>
      <c r="B59" s="16"/>
      <c r="C59" s="16"/>
      <c r="D59" s="16"/>
    </row>
    <row r="60" spans="1:4" x14ac:dyDescent="0.3">
      <c r="A60" s="16"/>
      <c r="B60" s="16"/>
      <c r="C60" s="16"/>
      <c r="D60" s="16"/>
    </row>
    <row r="61" spans="1:4" x14ac:dyDescent="0.3">
      <c r="A61" s="16"/>
      <c r="B61" s="16"/>
      <c r="C61" s="16"/>
      <c r="D61" s="16"/>
    </row>
  </sheetData>
  <mergeCells count="9">
    <mergeCell ref="N28:N29"/>
    <mergeCell ref="L10:P10"/>
    <mergeCell ref="L16:P16"/>
    <mergeCell ref="L21:P21"/>
    <mergeCell ref="R1:S1"/>
    <mergeCell ref="Q17:R18"/>
    <mergeCell ref="R2:S2"/>
    <mergeCell ref="A1:D1"/>
    <mergeCell ref="L1:P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8C55-DB78-4192-AF3B-DE86B5FD6CF8}">
  <sheetPr codeName="Feuil5"/>
  <dimension ref="A1:Y40"/>
  <sheetViews>
    <sheetView tabSelected="1" topLeftCell="A17" zoomScale="65" workbookViewId="0">
      <selection activeCell="U5" sqref="U5"/>
    </sheetView>
  </sheetViews>
  <sheetFormatPr baseColWidth="10" defaultRowHeight="14.4" x14ac:dyDescent="0.3"/>
  <cols>
    <col min="5" max="5" width="14.33203125" customWidth="1"/>
    <col min="8" max="8" width="14.6640625" customWidth="1"/>
    <col min="11" max="11" width="13.88671875" customWidth="1"/>
    <col min="12" max="12" width="15.109375" customWidth="1"/>
    <col min="13" max="13" width="16.33203125" customWidth="1"/>
    <col min="14" max="14" width="18.21875" customWidth="1"/>
    <col min="15" max="15" width="19.5546875" customWidth="1"/>
    <col min="16" max="16" width="17.109375" customWidth="1"/>
    <col min="18" max="18" width="35.6640625" bestFit="1" customWidth="1"/>
    <col min="19" max="19" width="13.21875" bestFit="1" customWidth="1"/>
    <col min="20" max="20" width="14.44140625" bestFit="1" customWidth="1"/>
    <col min="21" max="21" width="29.109375" bestFit="1" customWidth="1"/>
    <col min="22" max="22" width="13.77734375" bestFit="1" customWidth="1"/>
  </cols>
  <sheetData>
    <row r="1" spans="1:25" ht="16.2" thickBot="1" x14ac:dyDescent="0.35">
      <c r="A1" s="145"/>
      <c r="B1" s="183"/>
      <c r="C1" s="183"/>
      <c r="D1" s="183"/>
      <c r="E1" s="183"/>
      <c r="F1" s="183"/>
      <c r="G1" s="183"/>
      <c r="H1" s="183"/>
      <c r="I1" s="183"/>
      <c r="J1" s="183"/>
      <c r="K1" s="136"/>
      <c r="L1" s="136"/>
      <c r="M1" s="136"/>
      <c r="N1" s="136"/>
      <c r="O1" s="136"/>
      <c r="P1" s="38"/>
      <c r="R1" s="171" t="s">
        <v>73</v>
      </c>
      <c r="S1" s="172"/>
      <c r="T1" s="172"/>
      <c r="U1" s="172"/>
      <c r="V1" s="173"/>
      <c r="X1" s="169" t="s">
        <v>79</v>
      </c>
      <c r="Y1" s="169"/>
    </row>
    <row r="2" spans="1:25" ht="29.4" thickBot="1" x14ac:dyDescent="0.35">
      <c r="A2" s="77" t="s">
        <v>42</v>
      </c>
      <c r="B2" s="83" t="s">
        <v>98</v>
      </c>
      <c r="C2" s="83" t="s">
        <v>68</v>
      </c>
      <c r="D2" s="76" t="s">
        <v>29</v>
      </c>
      <c r="E2" s="78" t="s">
        <v>99</v>
      </c>
      <c r="F2" s="83" t="s">
        <v>68</v>
      </c>
      <c r="G2" s="76" t="s">
        <v>30</v>
      </c>
      <c r="H2" s="78" t="s">
        <v>100</v>
      </c>
      <c r="I2" s="83" t="s">
        <v>68</v>
      </c>
      <c r="J2" s="76" t="s">
        <v>31</v>
      </c>
      <c r="K2" s="140" t="s">
        <v>101</v>
      </c>
      <c r="L2" s="142" t="s">
        <v>112</v>
      </c>
      <c r="M2" s="140" t="s">
        <v>113</v>
      </c>
      <c r="N2" s="142" t="s">
        <v>114</v>
      </c>
      <c r="O2" s="78" t="s">
        <v>115</v>
      </c>
      <c r="P2" s="140" t="s">
        <v>116</v>
      </c>
      <c r="R2" s="121"/>
      <c r="S2" s="76" t="s">
        <v>1</v>
      </c>
      <c r="T2" s="76" t="s">
        <v>2</v>
      </c>
      <c r="U2" s="76" t="s">
        <v>20</v>
      </c>
      <c r="V2" s="122"/>
      <c r="X2" s="170" t="s">
        <v>21</v>
      </c>
      <c r="Y2" s="170"/>
    </row>
    <row r="3" spans="1:25" x14ac:dyDescent="0.3">
      <c r="A3" s="51">
        <v>1E-3</v>
      </c>
      <c r="B3" s="129">
        <f t="shared" ref="B3:B28" si="0">(SQRT($S$31^2+($S$31/($A3))^2))/1000</f>
        <v>100.0000499999875</v>
      </c>
      <c r="C3" s="129">
        <v>34.34093994362329</v>
      </c>
      <c r="D3" s="28">
        <f t="shared" ref="D3:D28" si="1">(($V$38*COS(ATAN($A3))*($S$19+$S$3+$S$8)*$V$35+$V$38*SIN(ATAN($A3))*($S$19+$S$3+$S$8)+0.5*$S$21*$S$38*((C3/3.6)+$V$29)^2)*(C3/3.6))/(1-$V$36)-((($T$4-$S$4)*(C3/3.6)^3)/(45/3.6)^3)+$S$5-(($S$7)*(C3/3.6)^3)/((45/3.6)^3)</f>
        <v>200.00004685058107</v>
      </c>
      <c r="E3" s="1">
        <f t="shared" ref="E3:E28" si="2">B3/C3</f>
        <v>2.9119776617691659</v>
      </c>
      <c r="F3" s="129">
        <v>33.878991542040175</v>
      </c>
      <c r="G3" s="28">
        <f t="shared" ref="G3:G28" si="3">(($V$38*COS(ATAN($A3))*($V$19+$U$3+$U$8)*$V$35+$V$38*SIN(ATAN($A3))*($V$19+$U$3+$U$8)+0.5*$V$21*$S$38*((F3/3.6)+$V$29)^2)*(F3/3.6))/(1-$V$36)-((($T$4-$U$4)*(F3/3.6)^3)/(45/3.6)^3)+$U$5-(($U$7)*(F3/3.6)^3)/((45/3.6)^3)</f>
        <v>215.00000112058379</v>
      </c>
      <c r="H3" s="1">
        <f t="shared" ref="H3:H28" si="4">B3/F3</f>
        <v>2.9516831950531413</v>
      </c>
      <c r="I3" s="129">
        <v>33.111717289309304</v>
      </c>
      <c r="J3" s="28">
        <f t="shared" ref="J3:J28" si="5">(($V$38*COS(ATAN($A3))*($S$19+$T$3+$T$8)*$V$35+$V$38*SIN(ATAN($A3))*($S$19+$T$3+$T$8)+0.5*$S$21*$S$38*((I3/3.6)+$V$29)^2)*(I3/3.6))/(1-$V$36)-((($T$4-$T$4)*(I3/3.6)^3)/(45/3.6)^3)+$T$5-(($T$7)*(I3/3.6)^3)/((45/3.6)^3)</f>
        <v>200.0000645577488</v>
      </c>
      <c r="K3" s="146">
        <f t="shared" ref="K3:K28" si="6">B3/I3</f>
        <v>3.0200804484482071</v>
      </c>
      <c r="L3" s="143">
        <f t="shared" ref="L3:L28" si="7">H3-E3</f>
        <v>3.9705533283975303E-2</v>
      </c>
      <c r="M3" s="29">
        <f t="shared" ref="M3:M28" si="8">K3-E3</f>
        <v>0.10810278667904116</v>
      </c>
      <c r="N3" s="28">
        <f>F3-C3</f>
        <v>-0.46194840158311479</v>
      </c>
      <c r="O3" s="28">
        <f>I3-C3</f>
        <v>-1.2292226543139861</v>
      </c>
      <c r="P3" s="29">
        <f>I3-F3</f>
        <v>-0.76727425273087135</v>
      </c>
      <c r="R3" s="13" t="s">
        <v>92</v>
      </c>
      <c r="S3" s="123">
        <v>7.85</v>
      </c>
      <c r="T3" s="123">
        <v>7</v>
      </c>
      <c r="U3" s="124">
        <v>7.4</v>
      </c>
      <c r="V3" s="39"/>
      <c r="X3" s="110" t="s">
        <v>89</v>
      </c>
      <c r="Y3" s="110">
        <v>0.40799999999999997</v>
      </c>
    </row>
    <row r="4" spans="1:25" x14ac:dyDescent="0.3">
      <c r="A4" s="51">
        <v>8.9999999999999993E-3</v>
      </c>
      <c r="B4" s="129">
        <f t="shared" si="0"/>
        <v>11.111561101998982</v>
      </c>
      <c r="C4" s="129">
        <v>30.649627742733728</v>
      </c>
      <c r="D4" s="28">
        <f t="shared" si="1"/>
        <v>200.00003985581776</v>
      </c>
      <c r="E4" s="1">
        <f t="shared" si="2"/>
        <v>0.36253494480477855</v>
      </c>
      <c r="F4" s="129">
        <v>30.027667484785248</v>
      </c>
      <c r="G4" s="28">
        <f t="shared" si="3"/>
        <v>215.00000185103403</v>
      </c>
      <c r="H4" s="1">
        <f t="shared" si="4"/>
        <v>0.37004409708576635</v>
      </c>
      <c r="I4" s="129">
        <v>29.702509538787272</v>
      </c>
      <c r="J4" s="28">
        <f t="shared" si="5"/>
        <v>200.00003708810488</v>
      </c>
      <c r="K4" s="146">
        <f t="shared" si="6"/>
        <v>0.37409502680198981</v>
      </c>
      <c r="L4" s="143">
        <f t="shared" si="7"/>
        <v>7.5091522809878075E-3</v>
      </c>
      <c r="M4" s="29">
        <f t="shared" si="8"/>
        <v>1.1560081997211258E-2</v>
      </c>
      <c r="N4" s="28">
        <f t="shared" ref="N4:N28" si="9">F4-C4</f>
        <v>-0.62196025794847998</v>
      </c>
      <c r="O4" s="28">
        <f t="shared" ref="O4:O28" si="10">I4-C4</f>
        <v>-0.94711820394645585</v>
      </c>
      <c r="P4" s="29">
        <f t="shared" ref="P4:P28" si="11">I4-F4</f>
        <v>-0.32515794599797587</v>
      </c>
      <c r="R4" s="4" t="s">
        <v>36</v>
      </c>
      <c r="S4" s="6">
        <v>204</v>
      </c>
      <c r="T4" s="6">
        <v>235</v>
      </c>
      <c r="U4" s="42">
        <v>225</v>
      </c>
      <c r="V4" s="5"/>
      <c r="X4" s="110" t="s">
        <v>90</v>
      </c>
      <c r="Y4" s="110">
        <v>0.32400000000000001</v>
      </c>
    </row>
    <row r="5" spans="1:25" x14ac:dyDescent="0.3">
      <c r="A5" s="51">
        <v>1.7000000000000001E-2</v>
      </c>
      <c r="B5" s="129">
        <f t="shared" si="0"/>
        <v>5.8832028797728428</v>
      </c>
      <c r="C5" s="129">
        <v>27.13650350019568</v>
      </c>
      <c r="D5" s="28">
        <f t="shared" si="1"/>
        <v>200.00001451639301</v>
      </c>
      <c r="E5" s="1">
        <f t="shared" si="2"/>
        <v>0.21680032874281019</v>
      </c>
      <c r="F5" s="129">
        <v>26.38523240660032</v>
      </c>
      <c r="G5" s="28">
        <f t="shared" si="3"/>
        <v>215.00000213177086</v>
      </c>
      <c r="H5" s="1">
        <f t="shared" si="4"/>
        <v>0.22297332042074974</v>
      </c>
      <c r="I5" s="129">
        <v>26.443747708361045</v>
      </c>
      <c r="J5" s="28">
        <f t="shared" si="5"/>
        <v>200.00001826972243</v>
      </c>
      <c r="K5" s="146">
        <f t="shared" si="6"/>
        <v>0.22247992019348597</v>
      </c>
      <c r="L5" s="143">
        <f t="shared" si="7"/>
        <v>6.1729916779395544E-3</v>
      </c>
      <c r="M5" s="29">
        <f t="shared" si="8"/>
        <v>5.6795914506757861E-3</v>
      </c>
      <c r="N5" s="28">
        <f t="shared" si="9"/>
        <v>-0.75127109359535993</v>
      </c>
      <c r="O5" s="28">
        <f t="shared" si="10"/>
        <v>-0.6927557918346352</v>
      </c>
      <c r="P5" s="29">
        <f t="shared" si="11"/>
        <v>5.8515301760724725E-2</v>
      </c>
      <c r="R5" s="4" t="s">
        <v>41</v>
      </c>
      <c r="S5" s="54">
        <v>0</v>
      </c>
      <c r="T5" s="54">
        <v>2</v>
      </c>
      <c r="U5" s="43">
        <v>0</v>
      </c>
      <c r="V5" s="5" t="s">
        <v>50</v>
      </c>
      <c r="X5" s="110" t="s">
        <v>91</v>
      </c>
      <c r="Y5" s="110">
        <v>0.307</v>
      </c>
    </row>
    <row r="6" spans="1:25" x14ac:dyDescent="0.3">
      <c r="A6" s="51">
        <v>2.5000000000000001E-2</v>
      </c>
      <c r="B6" s="129">
        <f t="shared" si="0"/>
        <v>4.0012498047485119</v>
      </c>
      <c r="C6" s="129">
        <v>23.912226127536165</v>
      </c>
      <c r="D6" s="28">
        <f t="shared" si="1"/>
        <v>200.00000163535134</v>
      </c>
      <c r="E6" s="1">
        <f t="shared" si="2"/>
        <v>0.1673307112189302</v>
      </c>
      <c r="F6" s="129">
        <v>23.077661677661503</v>
      </c>
      <c r="G6" s="28">
        <f t="shared" si="3"/>
        <v>215.00000170182065</v>
      </c>
      <c r="H6" s="1">
        <f t="shared" si="4"/>
        <v>0.1733819422711099</v>
      </c>
      <c r="I6" s="129">
        <v>23.430625656917496</v>
      </c>
      <c r="J6" s="28">
        <f t="shared" si="5"/>
        <v>200.00000770964138</v>
      </c>
      <c r="K6" s="146">
        <f t="shared" si="6"/>
        <v>0.17077007943947969</v>
      </c>
      <c r="L6" s="143">
        <f t="shared" si="7"/>
        <v>6.0512310521796953E-3</v>
      </c>
      <c r="M6" s="29">
        <f t="shared" si="8"/>
        <v>3.4393682205494935E-3</v>
      </c>
      <c r="N6" s="28">
        <f t="shared" si="9"/>
        <v>-0.83456444987466227</v>
      </c>
      <c r="O6" s="28">
        <f t="shared" si="10"/>
        <v>-0.48160047061866962</v>
      </c>
      <c r="P6" s="29">
        <f t="shared" si="11"/>
        <v>0.35296397925599265</v>
      </c>
      <c r="R6" s="4" t="s">
        <v>38</v>
      </c>
      <c r="S6" s="31" t="s">
        <v>39</v>
      </c>
      <c r="T6" s="32" t="s">
        <v>40</v>
      </c>
      <c r="U6" s="44" t="s">
        <v>40</v>
      </c>
      <c r="V6" s="5" t="s">
        <v>49</v>
      </c>
      <c r="X6" s="110" t="s">
        <v>15</v>
      </c>
      <c r="Y6" s="110">
        <v>0.29139999999999999</v>
      </c>
    </row>
    <row r="7" spans="1:25" x14ac:dyDescent="0.3">
      <c r="A7" s="51">
        <v>3.3000000000000002E-2</v>
      </c>
      <c r="B7" s="129">
        <f t="shared" si="0"/>
        <v>3.0319525813349597</v>
      </c>
      <c r="C7" s="129">
        <v>21.057530410172618</v>
      </c>
      <c r="D7" s="28">
        <f t="shared" si="1"/>
        <v>200.00077777826124</v>
      </c>
      <c r="E7" s="1">
        <f t="shared" si="2"/>
        <v>0.14398424327433301</v>
      </c>
      <c r="F7" s="129">
        <v>20.189106819709888</v>
      </c>
      <c r="G7" s="28">
        <f t="shared" si="3"/>
        <v>215.00000098407929</v>
      </c>
      <c r="H7" s="1">
        <f t="shared" si="4"/>
        <v>0.15017764819466778</v>
      </c>
      <c r="I7" s="129">
        <v>20.736549168580243</v>
      </c>
      <c r="J7" s="28">
        <f t="shared" si="5"/>
        <v>200.0000028564574</v>
      </c>
      <c r="K7" s="146">
        <f t="shared" si="6"/>
        <v>0.14621297674392883</v>
      </c>
      <c r="L7" s="143">
        <f t="shared" si="7"/>
        <v>6.1934049203347663E-3</v>
      </c>
      <c r="M7" s="29">
        <f t="shared" si="8"/>
        <v>2.2287334695958172E-3</v>
      </c>
      <c r="N7" s="28">
        <f t="shared" si="9"/>
        <v>-0.86842359046272932</v>
      </c>
      <c r="O7" s="28">
        <f t="shared" si="10"/>
        <v>-0.32098124159237429</v>
      </c>
      <c r="P7" s="29">
        <f t="shared" si="11"/>
        <v>0.54744234887035503</v>
      </c>
      <c r="R7" s="107" t="s">
        <v>93</v>
      </c>
      <c r="S7" s="54">
        <v>10</v>
      </c>
      <c r="T7" s="54">
        <v>0</v>
      </c>
      <c r="U7" s="43">
        <v>0</v>
      </c>
      <c r="V7" s="5" t="s">
        <v>48</v>
      </c>
    </row>
    <row r="8" spans="1:25" x14ac:dyDescent="0.3">
      <c r="A8" s="51">
        <v>4.1000000000000002E-2</v>
      </c>
      <c r="B8" s="129">
        <f t="shared" si="0"/>
        <v>2.4410735294547439</v>
      </c>
      <c r="C8" s="129">
        <v>18.602512603010439</v>
      </c>
      <c r="D8" s="28">
        <f t="shared" si="1"/>
        <v>200.00000172236361</v>
      </c>
      <c r="E8" s="1">
        <f t="shared" si="2"/>
        <v>0.13122278595095296</v>
      </c>
      <c r="F8" s="129">
        <v>17.740825884719797</v>
      </c>
      <c r="G8" s="28">
        <f t="shared" si="3"/>
        <v>215.00000044874798</v>
      </c>
      <c r="H8" s="1">
        <f t="shared" si="4"/>
        <v>0.13759638617259889</v>
      </c>
      <c r="I8" s="129">
        <v>18.394922976248008</v>
      </c>
      <c r="J8" s="28">
        <f t="shared" si="5"/>
        <v>200.00000097102571</v>
      </c>
      <c r="K8" s="146">
        <f t="shared" si="6"/>
        <v>0.13270365592760133</v>
      </c>
      <c r="L8" s="143">
        <f t="shared" si="7"/>
        <v>6.3736002216459309E-3</v>
      </c>
      <c r="M8" s="29">
        <f t="shared" si="8"/>
        <v>1.4808699766483691E-3</v>
      </c>
      <c r="N8" s="28">
        <f t="shared" si="9"/>
        <v>-0.86168671829064181</v>
      </c>
      <c r="O8" s="28">
        <f t="shared" si="10"/>
        <v>-0.20758962676243087</v>
      </c>
      <c r="P8" s="29">
        <f t="shared" si="11"/>
        <v>0.65409709152821094</v>
      </c>
      <c r="R8" s="107" t="s">
        <v>111</v>
      </c>
      <c r="S8" s="138">
        <v>2</v>
      </c>
      <c r="T8" s="138">
        <v>2</v>
      </c>
      <c r="U8" s="139">
        <v>2</v>
      </c>
      <c r="V8" s="5"/>
    </row>
    <row r="9" spans="1:25" x14ac:dyDescent="0.3">
      <c r="A9" s="51">
        <v>4.9000000000000002E-2</v>
      </c>
      <c r="B9" s="129">
        <f t="shared" si="0"/>
        <v>2.0432648576809376</v>
      </c>
      <c r="C9" s="129">
        <v>16.53062231667737</v>
      </c>
      <c r="D9" s="28">
        <f t="shared" si="1"/>
        <v>200.00000245948036</v>
      </c>
      <c r="E9" s="1">
        <f t="shared" si="2"/>
        <v>0.12360483583364759</v>
      </c>
      <c r="F9" s="129">
        <v>15.701626788213897</v>
      </c>
      <c r="G9" s="28">
        <f t="shared" si="3"/>
        <v>215.00000017744659</v>
      </c>
      <c r="H9" s="1">
        <f t="shared" si="4"/>
        <v>0.13013077467964482</v>
      </c>
      <c r="I9" s="129">
        <v>16.398696954393834</v>
      </c>
      <c r="J9" s="28">
        <f t="shared" si="5"/>
        <v>199.99920185293206</v>
      </c>
      <c r="K9" s="146">
        <f t="shared" si="6"/>
        <v>0.12459922049681327</v>
      </c>
      <c r="L9" s="143">
        <f t="shared" si="7"/>
        <v>6.5259388459972256E-3</v>
      </c>
      <c r="M9" s="29">
        <f t="shared" si="8"/>
        <v>9.9438466316567609E-4</v>
      </c>
      <c r="N9" s="28">
        <f t="shared" si="9"/>
        <v>-0.82899552846347291</v>
      </c>
      <c r="O9" s="28">
        <f t="shared" si="10"/>
        <v>-0.13192536228353546</v>
      </c>
      <c r="P9" s="29">
        <f t="shared" si="11"/>
        <v>0.69707016617993744</v>
      </c>
      <c r="R9" s="4" t="s">
        <v>103</v>
      </c>
      <c r="S9" s="6">
        <v>30</v>
      </c>
      <c r="T9" s="6">
        <v>28</v>
      </c>
      <c r="U9" s="6">
        <v>28</v>
      </c>
      <c r="V9" s="5"/>
    </row>
    <row r="10" spans="1:25" x14ac:dyDescent="0.3">
      <c r="A10" s="51">
        <v>5.7000000000000002E-2</v>
      </c>
      <c r="B10" s="129">
        <f t="shared" si="0"/>
        <v>1.7572336537527369</v>
      </c>
      <c r="C10" s="129">
        <v>14.796917393882357</v>
      </c>
      <c r="D10" s="28">
        <f t="shared" si="1"/>
        <v>200.00000228691704</v>
      </c>
      <c r="E10" s="1">
        <f t="shared" si="2"/>
        <v>0.11875673878393403</v>
      </c>
      <c r="F10" s="129">
        <v>14.01374051162823</v>
      </c>
      <c r="G10" s="28">
        <f t="shared" si="3"/>
        <v>215.00090426149364</v>
      </c>
      <c r="H10" s="1">
        <f t="shared" si="4"/>
        <v>0.1253936200898419</v>
      </c>
      <c r="I10" s="129">
        <v>14.714083706403461</v>
      </c>
      <c r="J10" s="28">
        <f t="shared" si="5"/>
        <v>199.99954249544427</v>
      </c>
      <c r="K10" s="146">
        <f t="shared" si="6"/>
        <v>0.11942528592439648</v>
      </c>
      <c r="L10" s="143">
        <f t="shared" si="7"/>
        <v>6.6368813059078657E-3</v>
      </c>
      <c r="M10" s="29">
        <f t="shared" si="8"/>
        <v>6.6854714046245267E-4</v>
      </c>
      <c r="N10" s="28">
        <f t="shared" si="9"/>
        <v>-0.78317688225412674</v>
      </c>
      <c r="O10" s="28">
        <f t="shared" si="10"/>
        <v>-8.2833687478895968E-2</v>
      </c>
      <c r="P10" s="29">
        <f t="shared" si="11"/>
        <v>0.70034319477523077</v>
      </c>
      <c r="R10" s="4" t="s">
        <v>107</v>
      </c>
      <c r="S10" s="6">
        <v>11</v>
      </c>
      <c r="T10" s="6">
        <v>11</v>
      </c>
      <c r="U10" s="6">
        <v>11</v>
      </c>
      <c r="V10" s="5"/>
    </row>
    <row r="11" spans="1:25" x14ac:dyDescent="0.3">
      <c r="A11" s="51">
        <v>6.5000000000000002E-2</v>
      </c>
      <c r="B11" s="129">
        <f t="shared" si="0"/>
        <v>1.541708112881762</v>
      </c>
      <c r="C11" s="129">
        <v>13.347312291312141</v>
      </c>
      <c r="D11" s="28">
        <f t="shared" si="1"/>
        <v>200.00000177998291</v>
      </c>
      <c r="E11" s="1">
        <f t="shared" si="2"/>
        <v>0.11550700839488641</v>
      </c>
      <c r="F11" s="129">
        <v>12.614205042914854</v>
      </c>
      <c r="G11" s="28">
        <f t="shared" si="3"/>
        <v>215.0005499141769</v>
      </c>
      <c r="H11" s="1">
        <f t="shared" si="4"/>
        <v>0.12221999782282821</v>
      </c>
      <c r="I11" s="129">
        <v>13.295924426445962</v>
      </c>
      <c r="J11" s="28">
        <f t="shared" si="5"/>
        <v>199.99973375126052</v>
      </c>
      <c r="K11" s="146">
        <f t="shared" si="6"/>
        <v>0.11595343531099363</v>
      </c>
      <c r="L11" s="143">
        <f t="shared" si="7"/>
        <v>6.7129894279417957E-3</v>
      </c>
      <c r="M11" s="29">
        <f t="shared" si="8"/>
        <v>4.4642691610721763E-4</v>
      </c>
      <c r="N11" s="28">
        <f t="shared" si="9"/>
        <v>-0.73310724839728714</v>
      </c>
      <c r="O11" s="28">
        <f t="shared" si="10"/>
        <v>-5.1387864866178745E-2</v>
      </c>
      <c r="P11" s="29">
        <f t="shared" si="11"/>
        <v>0.68171938353110839</v>
      </c>
      <c r="R11" s="4" t="s">
        <v>104</v>
      </c>
      <c r="S11" s="6">
        <v>36</v>
      </c>
      <c r="T11" s="6">
        <v>34</v>
      </c>
      <c r="U11" s="6">
        <v>34</v>
      </c>
      <c r="V11" s="5"/>
    </row>
    <row r="12" spans="1:25" x14ac:dyDescent="0.3">
      <c r="A12" s="51">
        <v>7.2999999999999995E-2</v>
      </c>
      <c r="B12" s="129">
        <f t="shared" si="0"/>
        <v>1.3735081638998343</v>
      </c>
      <c r="C12" s="129">
        <v>12.130171614617032</v>
      </c>
      <c r="D12" s="28">
        <f t="shared" si="1"/>
        <v>200.00000127798</v>
      </c>
      <c r="E12" s="1">
        <f t="shared" si="2"/>
        <v>0.11323072809990067</v>
      </c>
      <c r="F12" s="129">
        <v>11.446534310472691</v>
      </c>
      <c r="G12" s="28">
        <f t="shared" si="3"/>
        <v>215.00033727342276</v>
      </c>
      <c r="H12" s="1">
        <f t="shared" si="4"/>
        <v>0.11999336451061707</v>
      </c>
      <c r="I12" s="129">
        <v>12.098950634300435</v>
      </c>
      <c r="J12" s="28">
        <f t="shared" si="5"/>
        <v>199.99984145068964</v>
      </c>
      <c r="K12" s="146">
        <f t="shared" si="6"/>
        <v>0.11352291660782125</v>
      </c>
      <c r="L12" s="143">
        <f t="shared" si="7"/>
        <v>6.7626364107163939E-3</v>
      </c>
      <c r="M12" s="29">
        <f t="shared" si="8"/>
        <v>2.9218850792057938E-4</v>
      </c>
      <c r="N12" s="28">
        <f t="shared" si="9"/>
        <v>-0.68363730414434087</v>
      </c>
      <c r="O12" s="28">
        <f t="shared" si="10"/>
        <v>-3.1220980316597036E-2</v>
      </c>
      <c r="P12" s="29">
        <f t="shared" si="11"/>
        <v>0.65241632382774384</v>
      </c>
      <c r="R12" s="4" t="s">
        <v>108</v>
      </c>
      <c r="S12" s="6">
        <v>52</v>
      </c>
      <c r="T12" s="6">
        <v>50</v>
      </c>
      <c r="U12" s="6">
        <v>50</v>
      </c>
      <c r="V12" s="5"/>
    </row>
    <row r="13" spans="1:25" x14ac:dyDescent="0.3">
      <c r="A13" s="51">
        <v>8.1000000000000003E-2</v>
      </c>
      <c r="B13" s="129">
        <f t="shared" si="0"/>
        <v>1.2386112799255162</v>
      </c>
      <c r="C13" s="129">
        <v>11.101161316397167</v>
      </c>
      <c r="D13" s="28">
        <f t="shared" si="1"/>
        <v>200.00000088646604</v>
      </c>
      <c r="E13" s="1">
        <f t="shared" si="2"/>
        <v>0.11157492848032065</v>
      </c>
      <c r="F13" s="129">
        <v>10.464001928989843</v>
      </c>
      <c r="G13" s="28">
        <f t="shared" si="3"/>
        <v>215.00021047365334</v>
      </c>
      <c r="H13" s="1">
        <f t="shared" si="4"/>
        <v>0.11836879315685364</v>
      </c>
      <c r="I13" s="129">
        <v>11.082979738306836</v>
      </c>
      <c r="J13" s="28">
        <f t="shared" si="5"/>
        <v>199.99990304508464</v>
      </c>
      <c r="K13" s="146">
        <f t="shared" si="6"/>
        <v>0.11175796664541596</v>
      </c>
      <c r="L13" s="143">
        <f t="shared" si="7"/>
        <v>6.793864676532993E-3</v>
      </c>
      <c r="M13" s="29">
        <f t="shared" si="8"/>
        <v>1.830381650953089E-4</v>
      </c>
      <c r="N13" s="28">
        <f t="shared" si="9"/>
        <v>-0.63715938740732447</v>
      </c>
      <c r="O13" s="28">
        <f t="shared" si="10"/>
        <v>-1.8181578090331385E-2</v>
      </c>
      <c r="P13" s="29">
        <f t="shared" si="11"/>
        <v>0.61897780931699309</v>
      </c>
      <c r="R13" s="4" t="s">
        <v>105</v>
      </c>
      <c r="S13" s="6">
        <v>170</v>
      </c>
      <c r="T13" s="6">
        <v>172.5</v>
      </c>
      <c r="U13" s="6">
        <v>172.5</v>
      </c>
      <c r="V13" s="5"/>
    </row>
    <row r="14" spans="1:25" x14ac:dyDescent="0.3">
      <c r="A14" s="51">
        <v>8.8999999999999996E-2</v>
      </c>
      <c r="B14" s="129">
        <f t="shared" si="0"/>
        <v>1.1280367282340229</v>
      </c>
      <c r="C14" s="129">
        <v>10.224144826966779</v>
      </c>
      <c r="D14" s="28">
        <f t="shared" si="1"/>
        <v>200.00000060840304</v>
      </c>
      <c r="E14" s="1">
        <f t="shared" si="2"/>
        <v>0.11033066797516015</v>
      </c>
      <c r="F14" s="129">
        <v>9.6295442223220746</v>
      </c>
      <c r="G14" s="28">
        <f t="shared" si="3"/>
        <v>215.00013419233306</v>
      </c>
      <c r="H14" s="1">
        <f t="shared" si="4"/>
        <v>0.1171433145941779</v>
      </c>
      <c r="I14" s="129">
        <v>10.21448751100675</v>
      </c>
      <c r="J14" s="28">
        <f t="shared" si="5"/>
        <v>199.9999390625988</v>
      </c>
      <c r="K14" s="146">
        <f t="shared" si="6"/>
        <v>0.11043498041565891</v>
      </c>
      <c r="L14" s="143">
        <f t="shared" si="7"/>
        <v>6.8126466190177454E-3</v>
      </c>
      <c r="M14" s="29">
        <f t="shared" si="8"/>
        <v>1.0431244049875776E-4</v>
      </c>
      <c r="N14" s="28">
        <f t="shared" si="9"/>
        <v>-0.59460060464470388</v>
      </c>
      <c r="O14" s="28">
        <f t="shared" si="10"/>
        <v>-9.6573159600286118E-3</v>
      </c>
      <c r="P14" s="29">
        <f t="shared" si="11"/>
        <v>0.58494328868467527</v>
      </c>
      <c r="R14" s="4" t="s">
        <v>109</v>
      </c>
      <c r="S14" s="28">
        <f>(S11/S9)*PI()*0.7*(S23/60)*3.6</f>
        <v>12.666901579274045</v>
      </c>
      <c r="T14" s="28">
        <f>(T11/T9)*PI()*0.7*(S23/60)*3.6</f>
        <v>12.817698026646353</v>
      </c>
      <c r="U14" s="28">
        <f>(U11/U9)*PI()*0.7*(V23/60)*3.6</f>
        <v>12.817698026646353</v>
      </c>
      <c r="V14" s="5"/>
    </row>
    <row r="15" spans="1:25" x14ac:dyDescent="0.3">
      <c r="A15" s="51">
        <v>9.7000000000000003E-2</v>
      </c>
      <c r="B15" s="129">
        <f t="shared" si="0"/>
        <v>1.0357664799963686</v>
      </c>
      <c r="C15" s="129">
        <v>9.4703748357056217</v>
      </c>
      <c r="D15" s="28">
        <f t="shared" si="1"/>
        <v>200.0000004184152</v>
      </c>
      <c r="E15" s="1">
        <f t="shared" si="2"/>
        <v>0.10936911135674129</v>
      </c>
      <c r="F15" s="129">
        <v>8.9142482266252987</v>
      </c>
      <c r="G15" s="28">
        <f t="shared" si="3"/>
        <v>215.00008753167225</v>
      </c>
      <c r="H15" s="1">
        <f t="shared" si="4"/>
        <v>0.11619224119233246</v>
      </c>
      <c r="I15" s="129">
        <v>9.4663525344171919</v>
      </c>
      <c r="J15" s="28">
        <f t="shared" si="5"/>
        <v>199.99996066047203</v>
      </c>
      <c r="K15" s="146">
        <f t="shared" si="6"/>
        <v>0.10941558284783832</v>
      </c>
      <c r="L15" s="143">
        <f t="shared" si="7"/>
        <v>6.8231298355911629E-3</v>
      </c>
      <c r="M15" s="29">
        <f t="shared" si="8"/>
        <v>4.6471491097030415E-5</v>
      </c>
      <c r="N15" s="28">
        <f t="shared" si="9"/>
        <v>-0.55612660908032296</v>
      </c>
      <c r="O15" s="28">
        <f t="shared" si="10"/>
        <v>-4.0223012884297304E-3</v>
      </c>
      <c r="P15" s="29">
        <f t="shared" si="11"/>
        <v>0.55210430779189323</v>
      </c>
      <c r="R15" s="4" t="s">
        <v>110</v>
      </c>
      <c r="S15" s="28">
        <f>(S12/S10)*PI()*0.7*(S23/60)*3.6</f>
        <v>49.899915312291697</v>
      </c>
      <c r="T15" s="28">
        <f>(T12/T10)*PI()*0.7*(S23/60)*3.6</f>
        <v>47.980687800280471</v>
      </c>
      <c r="U15" s="28">
        <f>(U12/U10)*PI()*0.7*(V23/60)*3.6</f>
        <v>47.980687800280471</v>
      </c>
      <c r="V15" s="5"/>
    </row>
    <row r="16" spans="1:25" x14ac:dyDescent="0.3">
      <c r="A16" s="51">
        <v>0.105</v>
      </c>
      <c r="B16" s="129">
        <f t="shared" si="0"/>
        <v>0.95761656129060857</v>
      </c>
      <c r="C16" s="129">
        <v>8.81719242174748</v>
      </c>
      <c r="D16" s="28">
        <f t="shared" si="1"/>
        <v>200.00000029027626</v>
      </c>
      <c r="E16" s="1">
        <f t="shared" si="2"/>
        <v>0.10860787827751847</v>
      </c>
      <c r="F16" s="129">
        <v>8.2956496480001061</v>
      </c>
      <c r="G16" s="28">
        <f t="shared" si="3"/>
        <v>215.00005840481683</v>
      </c>
      <c r="H16" s="1">
        <f t="shared" si="4"/>
        <v>0.11543599379482815</v>
      </c>
      <c r="I16" s="129">
        <v>8.8169307172281446</v>
      </c>
      <c r="J16" s="28">
        <f t="shared" si="5"/>
        <v>199.99997395083915</v>
      </c>
      <c r="K16" s="146">
        <f t="shared" si="6"/>
        <v>0.10861110198126439</v>
      </c>
      <c r="L16" s="143">
        <f t="shared" si="7"/>
        <v>6.8281155173096769E-3</v>
      </c>
      <c r="M16" s="29">
        <f t="shared" si="8"/>
        <v>3.223703745919293E-6</v>
      </c>
      <c r="N16" s="28">
        <f t="shared" si="9"/>
        <v>-0.5215427737473739</v>
      </c>
      <c r="O16" s="28">
        <f t="shared" si="10"/>
        <v>-2.6170451933538175E-4</v>
      </c>
      <c r="P16" s="29">
        <f t="shared" si="11"/>
        <v>0.52128106922803852</v>
      </c>
      <c r="R16" s="4"/>
      <c r="V16" s="5"/>
    </row>
    <row r="17" spans="1:24" ht="14.4" customHeight="1" x14ac:dyDescent="0.3">
      <c r="A17" s="51">
        <v>0.113</v>
      </c>
      <c r="B17" s="129">
        <f t="shared" si="0"/>
        <v>0.89058783024123789</v>
      </c>
      <c r="C17" s="129">
        <v>8.246787258160003</v>
      </c>
      <c r="D17" s="28">
        <f t="shared" si="1"/>
        <v>200.00085766523125</v>
      </c>
      <c r="E17" s="1">
        <f t="shared" si="2"/>
        <v>0.1079920946620785</v>
      </c>
      <c r="F17" s="129">
        <v>7.7562456544498977</v>
      </c>
      <c r="G17" s="28">
        <f t="shared" si="3"/>
        <v>215.0000398271099</v>
      </c>
      <c r="H17" s="1">
        <f t="shared" si="4"/>
        <v>0.11482202471633833</v>
      </c>
      <c r="I17" s="129">
        <v>8.2490171232396801</v>
      </c>
      <c r="J17" s="28">
        <f t="shared" si="5"/>
        <v>199.99998233857178</v>
      </c>
      <c r="K17" s="146">
        <f t="shared" si="6"/>
        <v>0.10796290235987201</v>
      </c>
      <c r="L17" s="143">
        <f t="shared" si="7"/>
        <v>6.8299300542598307E-3</v>
      </c>
      <c r="M17" s="29">
        <f t="shared" si="8"/>
        <v>-2.919230220649327E-5</v>
      </c>
      <c r="N17" s="28">
        <f t="shared" si="9"/>
        <v>-0.49054160371010536</v>
      </c>
      <c r="O17" s="28">
        <f t="shared" si="10"/>
        <v>2.2298650796770403E-3</v>
      </c>
      <c r="P17" s="29">
        <f t="shared" si="11"/>
        <v>0.4927714687897824</v>
      </c>
      <c r="R17" s="4"/>
      <c r="V17" s="5"/>
    </row>
    <row r="18" spans="1:24" ht="16.2" thickBot="1" x14ac:dyDescent="0.35">
      <c r="A18" s="51">
        <v>0.121</v>
      </c>
      <c r="B18" s="129">
        <f t="shared" si="0"/>
        <v>0.83247429711977938</v>
      </c>
      <c r="C18" s="129">
        <v>7.7449759073295992</v>
      </c>
      <c r="D18" s="28">
        <f t="shared" si="1"/>
        <v>200.00072441690415</v>
      </c>
      <c r="E18" s="1">
        <f t="shared" si="2"/>
        <v>0.1074857181068765</v>
      </c>
      <c r="F18" s="129">
        <v>7.282311668245077</v>
      </c>
      <c r="G18" s="28">
        <f t="shared" si="3"/>
        <v>215.00002772042637</v>
      </c>
      <c r="H18" s="1">
        <f t="shared" si="4"/>
        <v>0.11431456590217494</v>
      </c>
      <c r="I18" s="129">
        <v>7.7489138679375271</v>
      </c>
      <c r="J18" s="28">
        <f t="shared" si="5"/>
        <v>199.99998776150434</v>
      </c>
      <c r="K18" s="146">
        <f t="shared" si="6"/>
        <v>0.10743109438398663</v>
      </c>
      <c r="L18" s="143">
        <f t="shared" si="7"/>
        <v>6.8288477952984372E-3</v>
      </c>
      <c r="M18" s="29">
        <f t="shared" si="8"/>
        <v>-5.4623722889876603E-5</v>
      </c>
      <c r="N18" s="28">
        <f t="shared" si="9"/>
        <v>-0.46266423908452214</v>
      </c>
      <c r="O18" s="28">
        <f t="shared" si="10"/>
        <v>3.9379606079279483E-3</v>
      </c>
      <c r="P18" s="29">
        <f t="shared" si="11"/>
        <v>0.46660219969245009</v>
      </c>
      <c r="R18" s="174" t="s">
        <v>74</v>
      </c>
      <c r="S18" s="175"/>
      <c r="T18" s="175"/>
      <c r="U18" s="175"/>
      <c r="V18" s="176"/>
    </row>
    <row r="19" spans="1:24" x14ac:dyDescent="0.3">
      <c r="A19" s="51">
        <v>0.129</v>
      </c>
      <c r="B19" s="129">
        <f t="shared" si="0"/>
        <v>0.78161718581076389</v>
      </c>
      <c r="C19" s="129">
        <v>7.3005788812673496</v>
      </c>
      <c r="D19" s="28">
        <f t="shared" si="1"/>
        <v>200.00061605278526</v>
      </c>
      <c r="E19" s="1">
        <f t="shared" si="2"/>
        <v>0.1070623574544651</v>
      </c>
      <c r="F19" s="129">
        <v>6.8629974887829386</v>
      </c>
      <c r="G19" s="28">
        <f t="shared" si="3"/>
        <v>215.00001966530115</v>
      </c>
      <c r="H19" s="1">
        <f t="shared" si="4"/>
        <v>0.11388860145851129</v>
      </c>
      <c r="I19" s="129">
        <v>7.3056640248681957</v>
      </c>
      <c r="J19" s="28">
        <f t="shared" si="5"/>
        <v>199.99999134766895</v>
      </c>
      <c r="K19" s="146">
        <f t="shared" si="6"/>
        <v>0.10698783617069844</v>
      </c>
      <c r="L19" s="143">
        <f t="shared" si="7"/>
        <v>6.8262440040461891E-3</v>
      </c>
      <c r="M19" s="29">
        <f t="shared" si="8"/>
        <v>-7.4521283766657009E-5</v>
      </c>
      <c r="N19" s="28">
        <f t="shared" si="9"/>
        <v>-0.43758139248441097</v>
      </c>
      <c r="O19" s="28">
        <f t="shared" si="10"/>
        <v>5.0851436008461093E-3</v>
      </c>
      <c r="P19" s="29">
        <f t="shared" si="11"/>
        <v>0.44266653608525708</v>
      </c>
      <c r="R19" s="4" t="s">
        <v>75</v>
      </c>
      <c r="S19" s="6">
        <v>63</v>
      </c>
      <c r="T19" s="1"/>
      <c r="U19" t="s">
        <v>55</v>
      </c>
      <c r="V19" s="14">
        <v>74</v>
      </c>
      <c r="W19" s="111"/>
      <c r="X19" s="111"/>
    </row>
    <row r="20" spans="1:24" x14ac:dyDescent="0.3">
      <c r="A20" s="51">
        <v>0.13700000000000001</v>
      </c>
      <c r="B20" s="129">
        <f t="shared" si="0"/>
        <v>0.73674516353001507</v>
      </c>
      <c r="C20" s="129">
        <v>6.9045999714463351</v>
      </c>
      <c r="D20" s="28">
        <f t="shared" si="1"/>
        <v>200.00052748126308</v>
      </c>
      <c r="E20" s="1">
        <f t="shared" si="2"/>
        <v>0.10670352613863103</v>
      </c>
      <c r="F20" s="129">
        <v>6.4896484292679233</v>
      </c>
      <c r="G20" s="28">
        <f t="shared" si="3"/>
        <v>215.00001419933872</v>
      </c>
      <c r="H20" s="1">
        <f t="shared" si="4"/>
        <v>0.11352620585844662</v>
      </c>
      <c r="I20" s="129">
        <v>6.9104472481965331</v>
      </c>
      <c r="J20" s="28">
        <f t="shared" si="5"/>
        <v>199.99999376956751</v>
      </c>
      <c r="K20" s="146">
        <f t="shared" si="6"/>
        <v>0.10661323892202325</v>
      </c>
      <c r="L20" s="143">
        <f t="shared" si="7"/>
        <v>6.8226797198155942E-3</v>
      </c>
      <c r="M20" s="29">
        <f t="shared" si="8"/>
        <v>-9.0287216607781717E-5</v>
      </c>
      <c r="N20" s="28">
        <f t="shared" si="9"/>
        <v>-0.41495154217841179</v>
      </c>
      <c r="O20" s="28">
        <f t="shared" si="10"/>
        <v>5.8472767501980272E-3</v>
      </c>
      <c r="P20" s="29">
        <f t="shared" si="11"/>
        <v>0.42079881892860982</v>
      </c>
      <c r="R20" s="4" t="s">
        <v>65</v>
      </c>
      <c r="S20" s="6">
        <v>200</v>
      </c>
      <c r="U20" t="s">
        <v>65</v>
      </c>
      <c r="V20" s="14">
        <v>215</v>
      </c>
      <c r="W20" s="111"/>
      <c r="X20" s="111"/>
    </row>
    <row r="21" spans="1:24" x14ac:dyDescent="0.3">
      <c r="A21" s="51">
        <v>0.14499999999999999</v>
      </c>
      <c r="B21" s="129">
        <f t="shared" si="0"/>
        <v>0.69686746002170219</v>
      </c>
      <c r="C21" s="129">
        <v>6.5497697579697203</v>
      </c>
      <c r="D21" s="28">
        <f t="shared" si="1"/>
        <v>200.00045465225057</v>
      </c>
      <c r="E21" s="1">
        <f t="shared" si="2"/>
        <v>0.10639571859358232</v>
      </c>
      <c r="F21" s="129">
        <v>6.1552980087320188</v>
      </c>
      <c r="G21" s="28">
        <f t="shared" si="3"/>
        <v>215.00001042116492</v>
      </c>
      <c r="H21" s="1">
        <f t="shared" si="4"/>
        <v>0.11321425202047297</v>
      </c>
      <c r="I21" s="129">
        <v>6.5561119851314977</v>
      </c>
      <c r="J21" s="28">
        <f t="shared" si="5"/>
        <v>199.99999543732633</v>
      </c>
      <c r="K21" s="146">
        <f t="shared" si="6"/>
        <v>0.10629279390012203</v>
      </c>
      <c r="L21" s="143">
        <f t="shared" si="7"/>
        <v>6.8185334268906495E-3</v>
      </c>
      <c r="M21" s="29">
        <f t="shared" si="8"/>
        <v>-1.0292469346029343E-4</v>
      </c>
      <c r="N21" s="28">
        <f t="shared" si="9"/>
        <v>-0.39447174923770145</v>
      </c>
      <c r="O21" s="28">
        <f t="shared" si="10"/>
        <v>6.3422271617774584E-3</v>
      </c>
      <c r="P21" s="29">
        <f t="shared" si="11"/>
        <v>0.40081397639947891</v>
      </c>
      <c r="R21" s="4" t="s">
        <v>47</v>
      </c>
      <c r="S21" s="6">
        <v>0.32500000000000001</v>
      </c>
      <c r="U21" t="s">
        <v>47</v>
      </c>
      <c r="V21" s="14">
        <v>0.33</v>
      </c>
    </row>
    <row r="22" spans="1:24" x14ac:dyDescent="0.3">
      <c r="A22" s="51">
        <v>0.153</v>
      </c>
      <c r="B22" s="129">
        <f t="shared" si="0"/>
        <v>0.66120051799333934</v>
      </c>
      <c r="C22" s="129">
        <v>6.230166015543718</v>
      </c>
      <c r="D22" s="28">
        <f t="shared" si="1"/>
        <v>200.00039438184047</v>
      </c>
      <c r="E22" s="1">
        <f t="shared" si="2"/>
        <v>0.10612887623599468</v>
      </c>
      <c r="F22" s="129">
        <v>5.8542883136732922</v>
      </c>
      <c r="G22" s="28">
        <f t="shared" si="3"/>
        <v>215.0000077642313</v>
      </c>
      <c r="H22" s="1">
        <f t="shared" si="4"/>
        <v>0.11294293730785987</v>
      </c>
      <c r="I22" s="129">
        <v>6.2368161545047691</v>
      </c>
      <c r="J22" s="28">
        <f t="shared" si="5"/>
        <v>199.99999660660498</v>
      </c>
      <c r="K22" s="146">
        <f t="shared" si="6"/>
        <v>0.1060157140459821</v>
      </c>
      <c r="L22" s="143">
        <f t="shared" si="7"/>
        <v>6.8140610718651906E-3</v>
      </c>
      <c r="M22" s="29">
        <f t="shared" si="8"/>
        <v>-1.131621900125751E-4</v>
      </c>
      <c r="N22" s="28">
        <f t="shared" si="9"/>
        <v>-0.3758777018704258</v>
      </c>
      <c r="O22" s="28">
        <f t="shared" si="10"/>
        <v>6.6501389610511552E-3</v>
      </c>
      <c r="P22" s="29">
        <f t="shared" si="11"/>
        <v>0.38252784083147695</v>
      </c>
      <c r="R22" s="4" t="s">
        <v>72</v>
      </c>
      <c r="S22" s="19">
        <f>S20/S19</f>
        <v>3.1746031746031744</v>
      </c>
      <c r="U22" t="s">
        <v>72</v>
      </c>
      <c r="V22" s="114">
        <f>V20/V19</f>
        <v>2.9054054054054053</v>
      </c>
    </row>
    <row r="23" spans="1:24" x14ac:dyDescent="0.3">
      <c r="A23" s="51">
        <v>0.161</v>
      </c>
      <c r="B23" s="129">
        <f t="shared" si="0"/>
        <v>0.62911651174921746</v>
      </c>
      <c r="C23" s="129">
        <v>5.9409252331702085</v>
      </c>
      <c r="D23" s="28">
        <f t="shared" si="1"/>
        <v>200.00034417711581</v>
      </c>
      <c r="E23" s="1">
        <f t="shared" si="2"/>
        <v>0.10589537606644935</v>
      </c>
      <c r="F23" s="129">
        <v>5.5819844929094735</v>
      </c>
      <c r="G23" s="28">
        <f t="shared" si="3"/>
        <v>215.00000586560023</v>
      </c>
      <c r="H23" s="1">
        <f t="shared" si="4"/>
        <v>0.11270481180095608</v>
      </c>
      <c r="I23" s="129">
        <v>5.9477514711771953</v>
      </c>
      <c r="J23" s="28">
        <f t="shared" si="5"/>
        <v>199.99999744011589</v>
      </c>
      <c r="K23" s="146">
        <f t="shared" si="6"/>
        <v>0.10577383987846772</v>
      </c>
      <c r="L23" s="143">
        <f t="shared" si="7"/>
        <v>6.8094357345067358E-3</v>
      </c>
      <c r="M23" s="29">
        <f t="shared" si="8"/>
        <v>-1.215361879816218E-4</v>
      </c>
      <c r="N23" s="28">
        <f t="shared" si="9"/>
        <v>-0.35894074026073497</v>
      </c>
      <c r="O23" s="28">
        <f t="shared" si="10"/>
        <v>6.8262380069867845E-3</v>
      </c>
      <c r="P23" s="29">
        <f t="shared" si="11"/>
        <v>0.36576697826772175</v>
      </c>
      <c r="R23" s="4" t="s">
        <v>102</v>
      </c>
      <c r="S23" s="137">
        <v>80</v>
      </c>
      <c r="U23" t="s">
        <v>102</v>
      </c>
      <c r="V23" s="14">
        <v>80</v>
      </c>
    </row>
    <row r="24" spans="1:24" ht="14.4" customHeight="1" x14ac:dyDescent="0.3">
      <c r="A24" s="51">
        <v>0.16900000000000001</v>
      </c>
      <c r="B24" s="129">
        <f t="shared" si="0"/>
        <v>0.60010648775511144</v>
      </c>
      <c r="C24" s="129">
        <v>5.678022368176201</v>
      </c>
      <c r="D24" s="28">
        <f t="shared" si="1"/>
        <v>200.00030208545473</v>
      </c>
      <c r="E24" s="1">
        <f t="shared" si="2"/>
        <v>0.10568934900970944</v>
      </c>
      <c r="F24" s="129">
        <v>5.3345585658321557</v>
      </c>
      <c r="G24" s="28">
        <f t="shared" si="3"/>
        <v>215.00000448849377</v>
      </c>
      <c r="H24" s="1">
        <f t="shared" si="4"/>
        <v>0.11249412305617809</v>
      </c>
      <c r="I24" s="129">
        <v>5.6849314126963248</v>
      </c>
      <c r="J24" s="28">
        <f t="shared" si="5"/>
        <v>199.9999980434574</v>
      </c>
      <c r="K24" s="146">
        <f t="shared" si="6"/>
        <v>0.10556090200400235</v>
      </c>
      <c r="L24" s="143">
        <f t="shared" si="7"/>
        <v>6.8047740464686479E-3</v>
      </c>
      <c r="M24" s="29">
        <f t="shared" si="8"/>
        <v>-1.2844700570709133E-4</v>
      </c>
      <c r="N24" s="28">
        <f t="shared" si="9"/>
        <v>-0.34346380234404528</v>
      </c>
      <c r="O24" s="28">
        <f t="shared" si="10"/>
        <v>6.9090445201238637E-3</v>
      </c>
      <c r="P24" s="29">
        <f t="shared" si="11"/>
        <v>0.35037284686416914</v>
      </c>
      <c r="R24" s="4" t="s">
        <v>106</v>
      </c>
      <c r="S24" s="28">
        <f>(S20*60)/(S13*10^-3*S23*2*PI())</f>
        <v>140.43083213990764</v>
      </c>
      <c r="U24" t="s">
        <v>106</v>
      </c>
      <c r="V24" s="29">
        <f>(V20*60)/(U13*10^-3*V23*2*PI())</f>
        <v>148.77527289024999</v>
      </c>
    </row>
    <row r="25" spans="1:24" x14ac:dyDescent="0.3">
      <c r="A25" s="51">
        <v>0.17699999999999999</v>
      </c>
      <c r="B25" s="129">
        <f t="shared" si="0"/>
        <v>0.57375350098629285</v>
      </c>
      <c r="C25" s="129">
        <v>5.4381016518632324</v>
      </c>
      <c r="D25" s="28">
        <f t="shared" si="1"/>
        <v>200.00026657291806</v>
      </c>
      <c r="E25" s="1">
        <f t="shared" si="2"/>
        <v>0.10550621112235191</v>
      </c>
      <c r="F25" s="129">
        <v>5.1088244258691082</v>
      </c>
      <c r="G25" s="28">
        <f t="shared" si="3"/>
        <v>215.00000347574533</v>
      </c>
      <c r="H25" s="1">
        <f t="shared" si="4"/>
        <v>0.11230636505749295</v>
      </c>
      <c r="I25" s="129">
        <v>5.4450273729714187</v>
      </c>
      <c r="J25" s="28">
        <f t="shared" si="5"/>
        <v>199.99999848642571</v>
      </c>
      <c r="K25" s="146">
        <f t="shared" si="6"/>
        <v>0.10537201407551207</v>
      </c>
      <c r="L25" s="143">
        <f t="shared" si="7"/>
        <v>6.8001539351410373E-3</v>
      </c>
      <c r="M25" s="29">
        <f t="shared" si="8"/>
        <v>-1.3419704683984013E-4</v>
      </c>
      <c r="N25" s="28">
        <f t="shared" si="9"/>
        <v>-0.32927722599412412</v>
      </c>
      <c r="O25" s="28">
        <f t="shared" si="10"/>
        <v>6.9257211081863446E-3</v>
      </c>
      <c r="P25" s="29">
        <f t="shared" si="11"/>
        <v>0.33620294710231047</v>
      </c>
      <c r="R25" s="4"/>
      <c r="V25" s="5"/>
    </row>
    <row r="26" spans="1:24" ht="15" thickBot="1" x14ac:dyDescent="0.35">
      <c r="A26" s="51">
        <v>0.185</v>
      </c>
      <c r="B26" s="129">
        <f t="shared" si="0"/>
        <v>0.54971272130801163</v>
      </c>
      <c r="C26" s="129">
        <v>5.2183456963116122</v>
      </c>
      <c r="D26" s="28">
        <f t="shared" si="1"/>
        <v>200.00023642909929</v>
      </c>
      <c r="E26" s="1">
        <f t="shared" si="2"/>
        <v>0.10534233515739577</v>
      </c>
      <c r="F26" s="129">
        <v>4.9021108683214969</v>
      </c>
      <c r="G26" s="28">
        <f t="shared" si="3"/>
        <v>215.0000027213153</v>
      </c>
      <c r="H26" s="1">
        <f t="shared" si="4"/>
        <v>0.11213796180342929</v>
      </c>
      <c r="I26" s="129">
        <v>5.2252413033544771</v>
      </c>
      <c r="J26" s="28">
        <f t="shared" si="5"/>
        <v>199.99999881594789</v>
      </c>
      <c r="K26" s="146">
        <f t="shared" si="6"/>
        <v>0.10520331777885732</v>
      </c>
      <c r="L26" s="143">
        <f t="shared" si="7"/>
        <v>6.7956266460335174E-3</v>
      </c>
      <c r="M26" s="29">
        <f t="shared" si="8"/>
        <v>-1.3901737853845575E-4</v>
      </c>
      <c r="N26" s="28">
        <f t="shared" si="9"/>
        <v>-0.31623482799011526</v>
      </c>
      <c r="O26" s="28">
        <f t="shared" si="10"/>
        <v>6.8956070428649596E-3</v>
      </c>
      <c r="P26" s="29">
        <f t="shared" si="11"/>
        <v>0.32313043503298022</v>
      </c>
      <c r="R26" s="4"/>
      <c r="V26" s="5"/>
    </row>
    <row r="27" spans="1:24" ht="16.2" thickBot="1" x14ac:dyDescent="0.35">
      <c r="A27" s="51">
        <v>0.193</v>
      </c>
      <c r="B27" s="129">
        <f t="shared" si="0"/>
        <v>0.52769648749539511</v>
      </c>
      <c r="C27" s="129">
        <v>5.0163734777825786</v>
      </c>
      <c r="D27" s="28">
        <f t="shared" si="1"/>
        <v>200.00021069379795</v>
      </c>
      <c r="E27" s="1">
        <f t="shared" si="2"/>
        <v>0.10519481650091499</v>
      </c>
      <c r="F27" s="129">
        <v>4.7121630572780591</v>
      </c>
      <c r="G27" s="28">
        <f t="shared" si="3"/>
        <v>215.00000215255264</v>
      </c>
      <c r="H27" s="1">
        <f t="shared" si="4"/>
        <v>0.1119860414593154</v>
      </c>
      <c r="I27" s="129">
        <v>5.0232060647789041</v>
      </c>
      <c r="J27" s="28">
        <f t="shared" si="5"/>
        <v>199.99999906408235</v>
      </c>
      <c r="K27" s="146">
        <f t="shared" si="6"/>
        <v>0.10505173004855049</v>
      </c>
      <c r="L27" s="143">
        <f t="shared" si="7"/>
        <v>6.7912249584004131E-3</v>
      </c>
      <c r="M27" s="29">
        <f t="shared" si="8"/>
        <v>-1.4308645236449369E-4</v>
      </c>
      <c r="N27" s="28">
        <f t="shared" si="9"/>
        <v>-0.30421042050451952</v>
      </c>
      <c r="O27" s="28">
        <f t="shared" si="10"/>
        <v>6.8325869963254959E-3</v>
      </c>
      <c r="P27" s="29">
        <f t="shared" si="11"/>
        <v>0.31104300750084501</v>
      </c>
      <c r="R27" s="184" t="s">
        <v>76</v>
      </c>
      <c r="S27" s="185"/>
      <c r="T27" s="185"/>
      <c r="U27" s="185"/>
      <c r="V27" s="186"/>
    </row>
    <row r="28" spans="1:24" ht="15" thickBot="1" x14ac:dyDescent="0.35">
      <c r="A28" s="52">
        <v>0.20100000000000001</v>
      </c>
      <c r="B28" s="53">
        <f t="shared" si="0"/>
        <v>0.50746293044575153</v>
      </c>
      <c r="C28" s="53">
        <v>4.8301602253773765</v>
      </c>
      <c r="D28" s="35">
        <f t="shared" si="1"/>
        <v>200.00018860088937</v>
      </c>
      <c r="E28" s="141">
        <f t="shared" si="2"/>
        <v>0.10506130371816058</v>
      </c>
      <c r="F28" s="53">
        <v>4.5370654263891819</v>
      </c>
      <c r="G28" s="35">
        <f t="shared" si="3"/>
        <v>215.00000171895874</v>
      </c>
      <c r="H28" s="141">
        <f t="shared" si="4"/>
        <v>0.11184827256273783</v>
      </c>
      <c r="I28" s="53">
        <v>4.8369069252576216</v>
      </c>
      <c r="J28" s="35">
        <f t="shared" si="5"/>
        <v>199.99999925305818</v>
      </c>
      <c r="K28" s="147">
        <f t="shared" si="6"/>
        <v>0.10491476025636429</v>
      </c>
      <c r="L28" s="144">
        <f t="shared" si="7"/>
        <v>6.7869688445772458E-3</v>
      </c>
      <c r="M28" s="36">
        <f t="shared" si="8"/>
        <v>-1.4654346179629463E-4</v>
      </c>
      <c r="N28" s="35">
        <f t="shared" si="9"/>
        <v>-0.29309479898819468</v>
      </c>
      <c r="O28" s="35">
        <f t="shared" si="10"/>
        <v>6.7466998802450107E-3</v>
      </c>
      <c r="P28" s="36">
        <f t="shared" si="11"/>
        <v>0.29984149886843969</v>
      </c>
      <c r="R28" s="4" t="s">
        <v>69</v>
      </c>
      <c r="S28" s="6">
        <v>100</v>
      </c>
      <c r="U28" t="s">
        <v>17</v>
      </c>
      <c r="V28" s="14">
        <v>0</v>
      </c>
      <c r="W28" s="153" t="s">
        <v>88</v>
      </c>
      <c r="X28" s="153"/>
    </row>
    <row r="29" spans="1:24" x14ac:dyDescent="0.3">
      <c r="R29" s="4" t="s">
        <v>12</v>
      </c>
      <c r="S29" s="6">
        <v>20</v>
      </c>
      <c r="U29" t="s">
        <v>16</v>
      </c>
      <c r="V29" s="5">
        <f>V28/3.6</f>
        <v>0</v>
      </c>
      <c r="W29" s="153"/>
      <c r="X29" s="153"/>
    </row>
    <row r="30" spans="1:24" x14ac:dyDescent="0.3">
      <c r="R30" s="4" t="s">
        <v>78</v>
      </c>
      <c r="S30">
        <f>S29+273.15</f>
        <v>293.14999999999998</v>
      </c>
      <c r="V30" s="5"/>
    </row>
    <row r="31" spans="1:24" x14ac:dyDescent="0.3">
      <c r="R31" s="4" t="s">
        <v>97</v>
      </c>
      <c r="S31" s="6">
        <v>100</v>
      </c>
      <c r="V31" s="5"/>
    </row>
    <row r="32" spans="1:24" x14ac:dyDescent="0.3">
      <c r="R32" s="4"/>
      <c r="V32" s="5"/>
    </row>
    <row r="33" spans="18:22" ht="15" thickBot="1" x14ac:dyDescent="0.35">
      <c r="R33" s="4"/>
      <c r="V33" s="5"/>
    </row>
    <row r="34" spans="18:22" ht="16.2" thickBot="1" x14ac:dyDescent="0.35">
      <c r="R34" s="187" t="s">
        <v>77</v>
      </c>
      <c r="S34" s="188"/>
      <c r="T34" s="188"/>
      <c r="U34" s="188"/>
      <c r="V34" s="189"/>
    </row>
    <row r="35" spans="18:22" x14ac:dyDescent="0.3">
      <c r="R35" s="7" t="s">
        <v>81</v>
      </c>
      <c r="S35">
        <v>1.2250000000000001</v>
      </c>
      <c r="U35" t="s">
        <v>9</v>
      </c>
      <c r="V35" s="116">
        <v>5.0000000000000001E-3</v>
      </c>
    </row>
    <row r="36" spans="18:22" x14ac:dyDescent="0.3">
      <c r="R36" s="4" t="s">
        <v>11</v>
      </c>
      <c r="S36">
        <v>8.3144500000000008</v>
      </c>
      <c r="U36" t="s">
        <v>5</v>
      </c>
      <c r="V36" s="8">
        <v>0.03</v>
      </c>
    </row>
    <row r="37" spans="18:22" x14ac:dyDescent="0.3">
      <c r="R37" s="7" t="s">
        <v>44</v>
      </c>
      <c r="S37">
        <v>2.8964400000000001E-2</v>
      </c>
      <c r="V37" s="5"/>
    </row>
    <row r="38" spans="18:22" x14ac:dyDescent="0.3">
      <c r="R38" s="4" t="s">
        <v>80</v>
      </c>
      <c r="S38">
        <f>S35*EXP((-V38*S37*S28)/(S36*S30))</f>
        <v>1.2108080798932019</v>
      </c>
      <c r="U38" t="s">
        <v>7</v>
      </c>
      <c r="V38" s="5">
        <v>9.8059999999999992</v>
      </c>
    </row>
    <row r="39" spans="18:22" x14ac:dyDescent="0.3">
      <c r="R39" s="4"/>
      <c r="V39" s="5"/>
    </row>
    <row r="40" spans="18:22" ht="15" thickBot="1" x14ac:dyDescent="0.35">
      <c r="R40" s="10"/>
      <c r="S40" s="11"/>
      <c r="T40" s="11"/>
      <c r="U40" s="11"/>
      <c r="V40" s="12"/>
    </row>
  </sheetData>
  <mergeCells count="8">
    <mergeCell ref="B1:J1"/>
    <mergeCell ref="R27:V27"/>
    <mergeCell ref="R34:V34"/>
    <mergeCell ref="W28:X29"/>
    <mergeCell ref="R1:V1"/>
    <mergeCell ref="X1:Y1"/>
    <mergeCell ref="X2:Y2"/>
    <mergeCell ref="R18:V18"/>
  </mergeCells>
  <conditionalFormatting sqref="E3:E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28 E3:E28 H3:H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FBB9C-CE81-42CA-9290-4E0754C096B9}">
  <sheetPr codeName="Feuil4"/>
  <dimension ref="A1:AE69"/>
  <sheetViews>
    <sheetView zoomScale="57" workbookViewId="0">
      <selection activeCell="AC8" sqref="AC8"/>
    </sheetView>
  </sheetViews>
  <sheetFormatPr baseColWidth="10" defaultRowHeight="14.4" x14ac:dyDescent="0.3"/>
  <cols>
    <col min="1" max="1" width="12.33203125" bestFit="1" customWidth="1"/>
    <col min="2" max="26" width="8.21875" bestFit="1" customWidth="1"/>
    <col min="27" max="27" width="33.6640625" bestFit="1" customWidth="1"/>
    <col min="28" max="28" width="14.21875" bestFit="1" customWidth="1"/>
    <col min="29" max="29" width="8.44140625" bestFit="1" customWidth="1"/>
    <col min="30" max="30" width="20" bestFit="1" customWidth="1"/>
    <col min="31" max="31" width="8.44140625" bestFit="1" customWidth="1"/>
    <col min="32" max="33" width="9.44140625" bestFit="1" customWidth="1"/>
    <col min="34" max="34" width="9.44140625" customWidth="1"/>
    <col min="35" max="46" width="9.44140625" bestFit="1" customWidth="1"/>
    <col min="47" max="47" width="15.88671875" bestFit="1" customWidth="1"/>
    <col min="48" max="49" width="14.6640625" bestFit="1" customWidth="1"/>
    <col min="50" max="51" width="15.88671875" bestFit="1" customWidth="1"/>
    <col min="52" max="52" width="14.6640625" bestFit="1" customWidth="1"/>
    <col min="53" max="53" width="15.88671875" bestFit="1" customWidth="1"/>
    <col min="54" max="55" width="14.6640625" bestFit="1" customWidth="1"/>
    <col min="56" max="59" width="15.88671875" bestFit="1" customWidth="1"/>
    <col min="60" max="60" width="14.6640625" bestFit="1" customWidth="1"/>
    <col min="61" max="62" width="15.88671875" bestFit="1" customWidth="1"/>
    <col min="63" max="63" width="14.6640625" bestFit="1" customWidth="1"/>
    <col min="64" max="66" width="15.88671875" bestFit="1" customWidth="1"/>
    <col min="67" max="67" width="14.6640625" bestFit="1" customWidth="1"/>
    <col min="68" max="68" width="15.88671875" bestFit="1" customWidth="1"/>
    <col min="69" max="72" width="9.44140625" bestFit="1" customWidth="1"/>
    <col min="80" max="80" width="30.33203125" bestFit="1" customWidth="1"/>
    <col min="81" max="81" width="12" bestFit="1" customWidth="1"/>
    <col min="82" max="82" width="7" bestFit="1" customWidth="1"/>
    <col min="83" max="83" width="17.44140625" bestFit="1" customWidth="1"/>
    <col min="84" max="84" width="7" bestFit="1" customWidth="1"/>
  </cols>
  <sheetData>
    <row r="1" spans="1:31" ht="28.8" x14ac:dyDescent="0.3">
      <c r="A1" s="135" t="s">
        <v>96</v>
      </c>
      <c r="B1" s="134">
        <v>10</v>
      </c>
      <c r="C1" s="134">
        <v>11.5</v>
      </c>
      <c r="D1" s="134">
        <v>13</v>
      </c>
      <c r="E1" s="134">
        <v>14.5</v>
      </c>
      <c r="F1" s="134">
        <v>16</v>
      </c>
      <c r="G1" s="134">
        <v>17.5</v>
      </c>
      <c r="H1" s="134">
        <v>19</v>
      </c>
      <c r="I1" s="134">
        <v>20.5</v>
      </c>
      <c r="J1" s="134">
        <v>22</v>
      </c>
      <c r="K1" s="134">
        <v>23.5</v>
      </c>
      <c r="L1" s="134">
        <v>25</v>
      </c>
      <c r="M1" s="134">
        <v>26.5</v>
      </c>
      <c r="N1" s="134">
        <v>28</v>
      </c>
      <c r="O1" s="134">
        <v>29.5</v>
      </c>
      <c r="P1" s="134">
        <v>31</v>
      </c>
      <c r="Q1" s="134">
        <v>32.5</v>
      </c>
      <c r="R1" s="134">
        <v>34</v>
      </c>
      <c r="S1" s="134">
        <v>35.5</v>
      </c>
      <c r="T1" s="134">
        <v>37</v>
      </c>
      <c r="U1" s="134">
        <v>38.5</v>
      </c>
      <c r="V1" s="134">
        <v>40</v>
      </c>
      <c r="W1" s="134">
        <v>41.5</v>
      </c>
      <c r="X1" s="134">
        <v>43</v>
      </c>
      <c r="Y1" s="134">
        <v>44.5</v>
      </c>
      <c r="AA1" s="13"/>
      <c r="AB1" s="76" t="s">
        <v>95</v>
      </c>
      <c r="AC1" s="105"/>
      <c r="AD1" s="105"/>
    </row>
    <row r="2" spans="1:31" x14ac:dyDescent="0.3">
      <c r="A2" s="133">
        <v>0</v>
      </c>
      <c r="B2">
        <f t="shared" ref="B2:K11" si="0">_xludf.power($AE$20,$A2,$AB$8,$AB$2,$AB$5,$AB$22,$AB$12,$AB$21,B$1,$AE$19,$AC$3,$AB$3,$AB$4,$AB$7,$AE$15)</f>
        <v>14.45</v>
      </c>
      <c r="C2">
        <f t="shared" si="0"/>
        <v>18.079999999999998</v>
      </c>
      <c r="D2">
        <f t="shared" si="0"/>
        <v>22.32</v>
      </c>
      <c r="E2">
        <f t="shared" si="0"/>
        <v>27.25</v>
      </c>
      <c r="F2">
        <f t="shared" si="0"/>
        <v>32.96</v>
      </c>
      <c r="G2">
        <f t="shared" si="0"/>
        <v>39.51</v>
      </c>
      <c r="H2">
        <f t="shared" si="0"/>
        <v>47</v>
      </c>
      <c r="I2">
        <f t="shared" si="0"/>
        <v>55.49</v>
      </c>
      <c r="J2">
        <f t="shared" si="0"/>
        <v>65.08</v>
      </c>
      <c r="K2">
        <f t="shared" si="0"/>
        <v>75.84</v>
      </c>
      <c r="L2">
        <f t="shared" ref="L2:Y11" si="1">_xludf.power($AE$20,$A2,$AB$8,$AB$2,$AB$5,$AB$22,$AB$12,$AB$21,L$1,$AE$19,$AC$3,$AB$3,$AB$4,$AB$7,$AE$15)</f>
        <v>87.84</v>
      </c>
      <c r="M2">
        <f t="shared" si="1"/>
        <v>101.18</v>
      </c>
      <c r="N2">
        <f t="shared" si="1"/>
        <v>115.93</v>
      </c>
      <c r="O2">
        <f t="shared" si="1"/>
        <v>132.16999999999999</v>
      </c>
      <c r="P2">
        <f t="shared" si="1"/>
        <v>149.97</v>
      </c>
      <c r="Q2">
        <f t="shared" si="1"/>
        <v>169.43</v>
      </c>
      <c r="R2">
        <f t="shared" si="1"/>
        <v>190.61</v>
      </c>
      <c r="S2">
        <f t="shared" si="1"/>
        <v>213.6</v>
      </c>
      <c r="T2">
        <f t="shared" si="1"/>
        <v>238.48</v>
      </c>
      <c r="U2">
        <f t="shared" si="1"/>
        <v>265.33</v>
      </c>
      <c r="V2">
        <f t="shared" si="1"/>
        <v>294.23</v>
      </c>
      <c r="W2">
        <f t="shared" si="1"/>
        <v>325.26</v>
      </c>
      <c r="X2">
        <f t="shared" si="1"/>
        <v>358.49</v>
      </c>
      <c r="Y2">
        <f t="shared" si="1"/>
        <v>394.01</v>
      </c>
      <c r="AA2" s="45" t="s">
        <v>3</v>
      </c>
      <c r="AB2" s="40">
        <v>9.85</v>
      </c>
    </row>
    <row r="3" spans="1:31" x14ac:dyDescent="0.3">
      <c r="A3" s="133">
        <v>7.0000000000000001E-3</v>
      </c>
      <c r="B3">
        <f t="shared" si="0"/>
        <v>29.16</v>
      </c>
      <c r="C3">
        <f t="shared" si="0"/>
        <v>35</v>
      </c>
      <c r="D3">
        <f t="shared" si="0"/>
        <v>41.45</v>
      </c>
      <c r="E3">
        <f t="shared" si="0"/>
        <v>48.59</v>
      </c>
      <c r="F3">
        <f t="shared" si="0"/>
        <v>56.5</v>
      </c>
      <c r="G3">
        <f t="shared" si="0"/>
        <v>65.260000000000005</v>
      </c>
      <c r="H3">
        <f t="shared" si="0"/>
        <v>74.95</v>
      </c>
      <c r="I3">
        <f t="shared" si="0"/>
        <v>85.65</v>
      </c>
      <c r="J3">
        <f t="shared" si="0"/>
        <v>97.45</v>
      </c>
      <c r="K3">
        <f t="shared" si="0"/>
        <v>110.41</v>
      </c>
      <c r="L3">
        <f t="shared" si="1"/>
        <v>124.63</v>
      </c>
      <c r="M3">
        <f t="shared" si="1"/>
        <v>140.16999999999999</v>
      </c>
      <c r="N3">
        <f t="shared" si="1"/>
        <v>157.12</v>
      </c>
      <c r="O3">
        <f t="shared" si="1"/>
        <v>175.57</v>
      </c>
      <c r="P3">
        <f t="shared" si="1"/>
        <v>195.58</v>
      </c>
      <c r="Q3">
        <f t="shared" si="1"/>
        <v>217.24</v>
      </c>
      <c r="R3">
        <f t="shared" si="1"/>
        <v>240.63</v>
      </c>
      <c r="S3">
        <f t="shared" si="1"/>
        <v>265.83</v>
      </c>
      <c r="T3">
        <f t="shared" si="1"/>
        <v>292.92</v>
      </c>
      <c r="U3">
        <f t="shared" si="1"/>
        <v>321.98</v>
      </c>
      <c r="V3">
        <f t="shared" si="1"/>
        <v>353.08</v>
      </c>
      <c r="W3">
        <f t="shared" si="1"/>
        <v>386.31</v>
      </c>
      <c r="X3">
        <f t="shared" si="1"/>
        <v>421.75</v>
      </c>
      <c r="Y3">
        <f t="shared" si="1"/>
        <v>459.48</v>
      </c>
      <c r="AA3" s="4" t="s">
        <v>36</v>
      </c>
      <c r="AB3" s="6">
        <v>204</v>
      </c>
      <c r="AC3">
        <v>235</v>
      </c>
    </row>
    <row r="4" spans="1:31" x14ac:dyDescent="0.3">
      <c r="A4" s="133">
        <v>1.4E-2</v>
      </c>
      <c r="B4">
        <f t="shared" si="0"/>
        <v>43.87</v>
      </c>
      <c r="C4">
        <f t="shared" si="0"/>
        <v>51.91</v>
      </c>
      <c r="D4">
        <f t="shared" si="0"/>
        <v>60.57</v>
      </c>
      <c r="E4">
        <f t="shared" si="0"/>
        <v>69.91</v>
      </c>
      <c r="F4">
        <f t="shared" si="0"/>
        <v>80.03</v>
      </c>
      <c r="G4">
        <f t="shared" si="0"/>
        <v>91</v>
      </c>
      <c r="H4">
        <f t="shared" si="0"/>
        <v>102.9</v>
      </c>
      <c r="I4">
        <f t="shared" si="0"/>
        <v>115.81</v>
      </c>
      <c r="J4">
        <f t="shared" si="0"/>
        <v>129.81</v>
      </c>
      <c r="K4">
        <f t="shared" si="0"/>
        <v>144.97999999999999</v>
      </c>
      <c r="L4">
        <f t="shared" si="1"/>
        <v>161.4</v>
      </c>
      <c r="M4">
        <f t="shared" si="1"/>
        <v>179.15</v>
      </c>
      <c r="N4">
        <f t="shared" si="1"/>
        <v>198.31</v>
      </c>
      <c r="O4">
        <f t="shared" si="1"/>
        <v>218.96</v>
      </c>
      <c r="P4">
        <f t="shared" si="1"/>
        <v>241.18</v>
      </c>
      <c r="Q4">
        <f t="shared" si="1"/>
        <v>265.05</v>
      </c>
      <c r="R4">
        <f t="shared" si="1"/>
        <v>290.64999999999998</v>
      </c>
      <c r="S4">
        <f t="shared" si="1"/>
        <v>318.05</v>
      </c>
      <c r="T4">
        <f t="shared" si="1"/>
        <v>347.35</v>
      </c>
      <c r="U4">
        <f t="shared" si="1"/>
        <v>378.61</v>
      </c>
      <c r="V4">
        <f t="shared" si="1"/>
        <v>411.92</v>
      </c>
      <c r="W4">
        <f t="shared" si="1"/>
        <v>447.36</v>
      </c>
      <c r="X4">
        <f t="shared" si="1"/>
        <v>485.01</v>
      </c>
      <c r="Y4">
        <f t="shared" si="1"/>
        <v>524.94000000000005</v>
      </c>
      <c r="AA4" s="4" t="s">
        <v>41</v>
      </c>
      <c r="AB4" s="54">
        <v>0</v>
      </c>
      <c r="AC4" s="54"/>
      <c r="AD4" s="54"/>
    </row>
    <row r="5" spans="1:31" x14ac:dyDescent="0.3">
      <c r="A5" s="133">
        <v>2.1000000000000001E-2</v>
      </c>
      <c r="B5">
        <f t="shared" si="0"/>
        <v>58.58</v>
      </c>
      <c r="C5">
        <f t="shared" si="0"/>
        <v>68.83</v>
      </c>
      <c r="D5">
        <f t="shared" si="0"/>
        <v>79.69</v>
      </c>
      <c r="E5">
        <f t="shared" si="0"/>
        <v>91.24</v>
      </c>
      <c r="F5">
        <f t="shared" si="0"/>
        <v>103.56</v>
      </c>
      <c r="G5">
        <f t="shared" si="0"/>
        <v>116.73</v>
      </c>
      <c r="H5">
        <f t="shared" si="0"/>
        <v>130.84</v>
      </c>
      <c r="I5">
        <f t="shared" si="0"/>
        <v>145.94999999999999</v>
      </c>
      <c r="J5">
        <f t="shared" si="0"/>
        <v>162.16</v>
      </c>
      <c r="K5">
        <f t="shared" si="0"/>
        <v>179.54</v>
      </c>
      <c r="L5">
        <f t="shared" si="1"/>
        <v>198.16</v>
      </c>
      <c r="M5">
        <f t="shared" si="1"/>
        <v>218.12</v>
      </c>
      <c r="N5">
        <f t="shared" si="1"/>
        <v>239.49</v>
      </c>
      <c r="O5">
        <f t="shared" si="1"/>
        <v>262.33999999999997</v>
      </c>
      <c r="P5">
        <f t="shared" si="1"/>
        <v>286.77</v>
      </c>
      <c r="Q5">
        <f t="shared" si="1"/>
        <v>312.83999999999997</v>
      </c>
      <c r="R5">
        <f t="shared" si="1"/>
        <v>340.64</v>
      </c>
      <c r="S5">
        <f t="shared" si="1"/>
        <v>370.26</v>
      </c>
      <c r="T5">
        <f t="shared" si="1"/>
        <v>401.76</v>
      </c>
      <c r="U5">
        <f t="shared" si="1"/>
        <v>435.22</v>
      </c>
      <c r="V5">
        <f t="shared" si="1"/>
        <v>470.74</v>
      </c>
      <c r="W5">
        <f t="shared" si="1"/>
        <v>508.39</v>
      </c>
      <c r="X5">
        <f t="shared" si="1"/>
        <v>548.24</v>
      </c>
      <c r="Y5">
        <f t="shared" si="1"/>
        <v>590.38</v>
      </c>
      <c r="AA5" s="4" t="s">
        <v>94</v>
      </c>
      <c r="AB5" s="127">
        <v>2</v>
      </c>
      <c r="AC5" s="130"/>
      <c r="AD5" s="130"/>
    </row>
    <row r="6" spans="1:31" x14ac:dyDescent="0.3">
      <c r="A6" s="133">
        <v>2.8000000000000001E-2</v>
      </c>
      <c r="B6">
        <f t="shared" si="0"/>
        <v>73.28</v>
      </c>
      <c r="C6">
        <f t="shared" si="0"/>
        <v>85.73</v>
      </c>
      <c r="D6">
        <f t="shared" si="0"/>
        <v>98.79</v>
      </c>
      <c r="E6">
        <f t="shared" si="0"/>
        <v>112.55</v>
      </c>
      <c r="F6">
        <f t="shared" si="0"/>
        <v>127.08</v>
      </c>
      <c r="G6">
        <f t="shared" si="0"/>
        <v>142.46</v>
      </c>
      <c r="H6">
        <f t="shared" si="0"/>
        <v>158.76</v>
      </c>
      <c r="I6">
        <f t="shared" si="0"/>
        <v>176.09</v>
      </c>
      <c r="J6">
        <f t="shared" si="0"/>
        <v>194.5</v>
      </c>
      <c r="K6">
        <f t="shared" si="0"/>
        <v>214.08</v>
      </c>
      <c r="L6">
        <f t="shared" si="1"/>
        <v>234.91</v>
      </c>
      <c r="M6">
        <f t="shared" si="1"/>
        <v>257.07</v>
      </c>
      <c r="N6">
        <f t="shared" si="1"/>
        <v>280.64</v>
      </c>
      <c r="O6">
        <f t="shared" si="1"/>
        <v>305.7</v>
      </c>
      <c r="P6">
        <f t="shared" si="1"/>
        <v>332.33</v>
      </c>
      <c r="Q6">
        <f t="shared" si="1"/>
        <v>360.61</v>
      </c>
      <c r="R6">
        <f t="shared" si="1"/>
        <v>390.62</v>
      </c>
      <c r="S6">
        <f t="shared" si="1"/>
        <v>422.43</v>
      </c>
      <c r="T6">
        <f t="shared" si="1"/>
        <v>456.14</v>
      </c>
      <c r="U6">
        <f t="shared" si="1"/>
        <v>491.81</v>
      </c>
      <c r="V6">
        <f t="shared" si="1"/>
        <v>529.53</v>
      </c>
      <c r="W6">
        <f t="shared" si="1"/>
        <v>569.38</v>
      </c>
      <c r="X6">
        <f t="shared" si="1"/>
        <v>611.44000000000005</v>
      </c>
      <c r="Y6">
        <f t="shared" si="1"/>
        <v>655.78</v>
      </c>
      <c r="AA6" s="4" t="s">
        <v>38</v>
      </c>
      <c r="AB6" s="31" t="s">
        <v>39</v>
      </c>
      <c r="AC6" s="32"/>
      <c r="AD6" s="31"/>
    </row>
    <row r="7" spans="1:31" ht="15" thickBot="1" x14ac:dyDescent="0.35">
      <c r="A7" s="133">
        <v>3.5000000000000003E-2</v>
      </c>
      <c r="B7">
        <f t="shared" si="0"/>
        <v>87.96</v>
      </c>
      <c r="C7">
        <f t="shared" si="0"/>
        <v>102.62</v>
      </c>
      <c r="D7">
        <f t="shared" si="0"/>
        <v>117.89</v>
      </c>
      <c r="E7">
        <f t="shared" si="0"/>
        <v>133.85</v>
      </c>
      <c r="F7">
        <f t="shared" si="0"/>
        <v>150.58000000000001</v>
      </c>
      <c r="G7">
        <f t="shared" si="0"/>
        <v>168.16</v>
      </c>
      <c r="H7">
        <f t="shared" si="0"/>
        <v>186.67</v>
      </c>
      <c r="I7">
        <f t="shared" si="0"/>
        <v>206.2</v>
      </c>
      <c r="J7">
        <f t="shared" si="0"/>
        <v>226.81</v>
      </c>
      <c r="K7">
        <f t="shared" si="0"/>
        <v>248.6</v>
      </c>
      <c r="L7">
        <f t="shared" si="1"/>
        <v>271.63</v>
      </c>
      <c r="M7">
        <f t="shared" si="1"/>
        <v>296</v>
      </c>
      <c r="N7">
        <f t="shared" si="1"/>
        <v>321.77</v>
      </c>
      <c r="O7">
        <f t="shared" si="1"/>
        <v>349.03</v>
      </c>
      <c r="P7">
        <f t="shared" si="1"/>
        <v>377.87</v>
      </c>
      <c r="Q7">
        <f t="shared" si="1"/>
        <v>408.35</v>
      </c>
      <c r="R7">
        <f t="shared" si="1"/>
        <v>440.56</v>
      </c>
      <c r="S7">
        <f t="shared" si="1"/>
        <v>474.58</v>
      </c>
      <c r="T7">
        <f t="shared" si="1"/>
        <v>510.49</v>
      </c>
      <c r="U7">
        <f t="shared" si="1"/>
        <v>548.36</v>
      </c>
      <c r="V7">
        <f t="shared" si="1"/>
        <v>588.29</v>
      </c>
      <c r="W7">
        <f t="shared" si="1"/>
        <v>630.34</v>
      </c>
      <c r="X7">
        <f t="shared" si="1"/>
        <v>674.6</v>
      </c>
      <c r="Y7">
        <f t="shared" si="1"/>
        <v>721.15</v>
      </c>
      <c r="AA7" s="30" t="s">
        <v>57</v>
      </c>
      <c r="AB7" s="34">
        <v>10</v>
      </c>
      <c r="AC7" s="54"/>
      <c r="AD7" s="54"/>
    </row>
    <row r="8" spans="1:31" x14ac:dyDescent="0.3">
      <c r="A8" s="133">
        <v>4.2000000000000003E-2</v>
      </c>
      <c r="B8">
        <f t="shared" si="0"/>
        <v>102.64</v>
      </c>
      <c r="C8">
        <f t="shared" si="0"/>
        <v>119.5</v>
      </c>
      <c r="D8">
        <f t="shared" si="0"/>
        <v>136.97</v>
      </c>
      <c r="E8">
        <f t="shared" si="0"/>
        <v>155.13</v>
      </c>
      <c r="F8">
        <f t="shared" si="0"/>
        <v>174.06</v>
      </c>
      <c r="G8">
        <f t="shared" si="0"/>
        <v>193.85</v>
      </c>
      <c r="H8">
        <f t="shared" si="0"/>
        <v>214.56</v>
      </c>
      <c r="I8">
        <f t="shared" si="0"/>
        <v>236.29</v>
      </c>
      <c r="J8">
        <f t="shared" si="0"/>
        <v>259.10000000000002</v>
      </c>
      <c r="K8">
        <f t="shared" si="0"/>
        <v>283.08999999999997</v>
      </c>
      <c r="L8">
        <f t="shared" si="1"/>
        <v>308.32</v>
      </c>
      <c r="M8">
        <f t="shared" si="1"/>
        <v>334.89</v>
      </c>
      <c r="N8">
        <f t="shared" si="1"/>
        <v>362.87</v>
      </c>
      <c r="O8">
        <f t="shared" si="1"/>
        <v>392.33</v>
      </c>
      <c r="P8">
        <f t="shared" si="1"/>
        <v>423.37</v>
      </c>
      <c r="Q8">
        <f t="shared" si="1"/>
        <v>456.05</v>
      </c>
      <c r="R8">
        <f t="shared" si="1"/>
        <v>490.46</v>
      </c>
      <c r="S8">
        <f t="shared" si="1"/>
        <v>526.69000000000005</v>
      </c>
      <c r="T8">
        <f t="shared" si="1"/>
        <v>564.79999999999995</v>
      </c>
      <c r="U8">
        <f t="shared" si="1"/>
        <v>604.87</v>
      </c>
      <c r="V8">
        <f t="shared" si="1"/>
        <v>647</v>
      </c>
      <c r="W8">
        <f t="shared" si="1"/>
        <v>691.25</v>
      </c>
      <c r="X8">
        <f t="shared" si="1"/>
        <v>737.72</v>
      </c>
      <c r="Y8">
        <f t="shared" si="1"/>
        <v>786.47</v>
      </c>
      <c r="AA8" s="4" t="s">
        <v>56</v>
      </c>
      <c r="AB8" s="6">
        <v>63</v>
      </c>
      <c r="AC8" s="1"/>
      <c r="AD8" s="118" t="s">
        <v>21</v>
      </c>
      <c r="AE8" s="37"/>
    </row>
    <row r="9" spans="1:31" x14ac:dyDescent="0.3">
      <c r="A9" s="133">
        <v>4.9000000000000002E-2</v>
      </c>
      <c r="B9">
        <f t="shared" si="0"/>
        <v>117.31</v>
      </c>
      <c r="C9">
        <f t="shared" si="0"/>
        <v>136.36000000000001</v>
      </c>
      <c r="D9">
        <f t="shared" si="0"/>
        <v>156.03</v>
      </c>
      <c r="E9">
        <f t="shared" si="0"/>
        <v>176.39</v>
      </c>
      <c r="F9">
        <f t="shared" si="0"/>
        <v>197.53</v>
      </c>
      <c r="G9">
        <f t="shared" si="0"/>
        <v>219.51</v>
      </c>
      <c r="H9">
        <f t="shared" si="0"/>
        <v>242.42</v>
      </c>
      <c r="I9">
        <f t="shared" si="0"/>
        <v>266.35000000000002</v>
      </c>
      <c r="J9">
        <f t="shared" si="0"/>
        <v>291.36</v>
      </c>
      <c r="K9">
        <f t="shared" si="0"/>
        <v>317.55</v>
      </c>
      <c r="L9">
        <f t="shared" si="1"/>
        <v>344.99</v>
      </c>
      <c r="M9">
        <f t="shared" si="1"/>
        <v>373.75</v>
      </c>
      <c r="N9">
        <f t="shared" si="1"/>
        <v>403.93</v>
      </c>
      <c r="O9">
        <f t="shared" si="1"/>
        <v>435.59</v>
      </c>
      <c r="P9">
        <f t="shared" si="1"/>
        <v>468.83</v>
      </c>
      <c r="Q9">
        <f t="shared" si="1"/>
        <v>503.71</v>
      </c>
      <c r="R9">
        <f t="shared" si="1"/>
        <v>540.32000000000005</v>
      </c>
      <c r="S9">
        <f t="shared" si="1"/>
        <v>578.74</v>
      </c>
      <c r="T9">
        <f t="shared" si="1"/>
        <v>619.04999999999995</v>
      </c>
      <c r="U9">
        <f t="shared" si="1"/>
        <v>661.33</v>
      </c>
      <c r="V9">
        <f t="shared" si="1"/>
        <v>705.66</v>
      </c>
      <c r="W9">
        <f t="shared" si="1"/>
        <v>752.11</v>
      </c>
      <c r="X9">
        <f t="shared" si="1"/>
        <v>800.77</v>
      </c>
      <c r="Y9">
        <f t="shared" si="1"/>
        <v>851.72</v>
      </c>
      <c r="AA9" s="4"/>
      <c r="AD9" s="118" t="s">
        <v>89</v>
      </c>
      <c r="AE9" s="37">
        <v>0.40799999999999997</v>
      </c>
    </row>
    <row r="10" spans="1:31" x14ac:dyDescent="0.3">
      <c r="A10" s="133">
        <v>5.6000000000000001E-2</v>
      </c>
      <c r="B10">
        <f t="shared" si="0"/>
        <v>131.96</v>
      </c>
      <c r="C10">
        <f t="shared" si="0"/>
        <v>153.21</v>
      </c>
      <c r="D10">
        <f t="shared" si="0"/>
        <v>175.08</v>
      </c>
      <c r="E10">
        <f t="shared" si="0"/>
        <v>197.63</v>
      </c>
      <c r="F10">
        <f t="shared" si="0"/>
        <v>220.96</v>
      </c>
      <c r="G10">
        <f t="shared" si="0"/>
        <v>245.14</v>
      </c>
      <c r="H10">
        <f t="shared" si="0"/>
        <v>270.26</v>
      </c>
      <c r="I10">
        <f t="shared" si="0"/>
        <v>296.38</v>
      </c>
      <c r="J10">
        <f t="shared" si="0"/>
        <v>323.58999999999997</v>
      </c>
      <c r="K10">
        <f t="shared" si="0"/>
        <v>351.97</v>
      </c>
      <c r="L10">
        <f t="shared" si="1"/>
        <v>381.61</v>
      </c>
      <c r="M10">
        <f t="shared" si="1"/>
        <v>412.57</v>
      </c>
      <c r="N10">
        <f t="shared" si="1"/>
        <v>444.94</v>
      </c>
      <c r="O10">
        <f t="shared" si="1"/>
        <v>478.81</v>
      </c>
      <c r="P10">
        <f t="shared" si="1"/>
        <v>514.24</v>
      </c>
      <c r="Q10">
        <f t="shared" si="1"/>
        <v>551.32000000000005</v>
      </c>
      <c r="R10">
        <f t="shared" si="1"/>
        <v>590.13</v>
      </c>
      <c r="S10">
        <f t="shared" si="1"/>
        <v>630.75</v>
      </c>
      <c r="T10">
        <f t="shared" si="1"/>
        <v>673.25</v>
      </c>
      <c r="U10">
        <f t="shared" si="1"/>
        <v>717.73</v>
      </c>
      <c r="V10">
        <f t="shared" si="1"/>
        <v>764.25</v>
      </c>
      <c r="W10">
        <f t="shared" si="1"/>
        <v>812.9</v>
      </c>
      <c r="X10">
        <f t="shared" si="1"/>
        <v>863.76</v>
      </c>
      <c r="Y10">
        <f t="shared" si="1"/>
        <v>916.91</v>
      </c>
      <c r="AA10" s="4"/>
      <c r="AB10" s="47"/>
      <c r="AD10" s="118" t="s">
        <v>90</v>
      </c>
      <c r="AE10" s="37">
        <v>0.32400000000000001</v>
      </c>
    </row>
    <row r="11" spans="1:31" x14ac:dyDescent="0.3">
      <c r="A11" s="133">
        <v>6.3E-2</v>
      </c>
      <c r="B11">
        <f t="shared" si="0"/>
        <v>146.59</v>
      </c>
      <c r="C11">
        <f t="shared" si="0"/>
        <v>170.04</v>
      </c>
      <c r="D11">
        <f t="shared" si="0"/>
        <v>194.1</v>
      </c>
      <c r="E11">
        <f t="shared" si="0"/>
        <v>218.85</v>
      </c>
      <c r="F11">
        <f t="shared" si="0"/>
        <v>244.37</v>
      </c>
      <c r="G11">
        <f t="shared" si="0"/>
        <v>270.75</v>
      </c>
      <c r="H11">
        <f t="shared" si="0"/>
        <v>298.05</v>
      </c>
      <c r="I11">
        <f t="shared" si="0"/>
        <v>326.37</v>
      </c>
      <c r="J11">
        <f t="shared" si="0"/>
        <v>355.78</v>
      </c>
      <c r="K11">
        <f t="shared" si="0"/>
        <v>386.36</v>
      </c>
      <c r="L11">
        <f t="shared" si="1"/>
        <v>418.18</v>
      </c>
      <c r="M11">
        <f t="shared" si="1"/>
        <v>451.34</v>
      </c>
      <c r="N11">
        <f t="shared" si="1"/>
        <v>485.91</v>
      </c>
      <c r="O11">
        <f t="shared" si="1"/>
        <v>521.97</v>
      </c>
      <c r="P11">
        <f t="shared" si="1"/>
        <v>559.59</v>
      </c>
      <c r="Q11">
        <f t="shared" si="1"/>
        <v>598.87</v>
      </c>
      <c r="R11">
        <f t="shared" si="1"/>
        <v>639.87</v>
      </c>
      <c r="S11">
        <f t="shared" si="1"/>
        <v>682.69</v>
      </c>
      <c r="T11">
        <f t="shared" si="1"/>
        <v>727.39</v>
      </c>
      <c r="U11">
        <f t="shared" si="1"/>
        <v>774.06</v>
      </c>
      <c r="V11">
        <f t="shared" si="1"/>
        <v>822.78</v>
      </c>
      <c r="W11">
        <f t="shared" si="1"/>
        <v>873.62</v>
      </c>
      <c r="X11">
        <f t="shared" si="1"/>
        <v>926.67</v>
      </c>
      <c r="Y11">
        <f t="shared" si="1"/>
        <v>982.02</v>
      </c>
      <c r="AA11" s="4" t="s">
        <v>69</v>
      </c>
      <c r="AB11" s="6">
        <v>100</v>
      </c>
      <c r="AD11" s="118" t="s">
        <v>91</v>
      </c>
      <c r="AE11" s="37">
        <v>0.307</v>
      </c>
    </row>
    <row r="12" spans="1:31" x14ac:dyDescent="0.3">
      <c r="A12" s="133">
        <v>7.0000000000000007E-2</v>
      </c>
      <c r="B12">
        <f t="shared" ref="B12:K21" si="2">_xludf.power($AE$20,$A12,$AB$8,$AB$2,$AB$5,$AB$22,$AB$12,$AB$21,B$1,$AE$19,$AC$3,$AB$3,$AB$4,$AB$7,$AE$15)</f>
        <v>161.19999999999999</v>
      </c>
      <c r="C12">
        <f t="shared" si="2"/>
        <v>186.84</v>
      </c>
      <c r="D12">
        <f t="shared" si="2"/>
        <v>213.09</v>
      </c>
      <c r="E12">
        <f t="shared" si="2"/>
        <v>240.04</v>
      </c>
      <c r="F12">
        <f t="shared" si="2"/>
        <v>267.75</v>
      </c>
      <c r="G12">
        <f t="shared" si="2"/>
        <v>296.32</v>
      </c>
      <c r="H12">
        <f t="shared" si="2"/>
        <v>325.82</v>
      </c>
      <c r="I12">
        <f t="shared" si="2"/>
        <v>356.32</v>
      </c>
      <c r="J12">
        <f t="shared" si="2"/>
        <v>387.92</v>
      </c>
      <c r="K12">
        <f t="shared" si="2"/>
        <v>420.69</v>
      </c>
      <c r="L12">
        <f t="shared" ref="L12:Y21" si="3">_xludf.power($AE$20,$A12,$AB$8,$AB$2,$AB$5,$AB$22,$AB$12,$AB$21,L$1,$AE$19,$AC$3,$AB$3,$AB$4,$AB$7,$AE$15)</f>
        <v>454.71</v>
      </c>
      <c r="M12">
        <f t="shared" si="3"/>
        <v>490.06</v>
      </c>
      <c r="N12">
        <f t="shared" si="3"/>
        <v>526.82000000000005</v>
      </c>
      <c r="O12">
        <f t="shared" si="3"/>
        <v>565.07000000000005</v>
      </c>
      <c r="P12">
        <f t="shared" si="3"/>
        <v>604.89</v>
      </c>
      <c r="Q12">
        <f t="shared" si="3"/>
        <v>646.36</v>
      </c>
      <c r="R12">
        <f t="shared" si="3"/>
        <v>689.55</v>
      </c>
      <c r="S12">
        <f t="shared" si="3"/>
        <v>734.56</v>
      </c>
      <c r="T12">
        <f t="shared" si="3"/>
        <v>781.45</v>
      </c>
      <c r="U12">
        <f t="shared" si="3"/>
        <v>830.31</v>
      </c>
      <c r="V12">
        <f t="shared" si="3"/>
        <v>881.22</v>
      </c>
      <c r="W12">
        <f t="shared" si="3"/>
        <v>934.26</v>
      </c>
      <c r="X12">
        <f t="shared" si="3"/>
        <v>989.5</v>
      </c>
      <c r="Y12">
        <f t="shared" si="3"/>
        <v>1047.04</v>
      </c>
      <c r="AA12" s="4" t="s">
        <v>47</v>
      </c>
      <c r="AB12" s="6">
        <v>0.32</v>
      </c>
      <c r="AD12" s="118" t="s">
        <v>15</v>
      </c>
      <c r="AE12" s="37">
        <v>0.29139999999999999</v>
      </c>
    </row>
    <row r="13" spans="1:31" x14ac:dyDescent="0.3">
      <c r="A13" s="133">
        <v>7.6999999999999999E-2</v>
      </c>
      <c r="B13">
        <f t="shared" si="2"/>
        <v>175.79</v>
      </c>
      <c r="C13">
        <f t="shared" si="2"/>
        <v>203.62</v>
      </c>
      <c r="D13">
        <f t="shared" si="2"/>
        <v>232.06</v>
      </c>
      <c r="E13">
        <f t="shared" si="2"/>
        <v>261.19</v>
      </c>
      <c r="F13">
        <f t="shared" si="2"/>
        <v>291.08999999999997</v>
      </c>
      <c r="G13">
        <f t="shared" si="2"/>
        <v>321.85000000000002</v>
      </c>
      <c r="H13">
        <f t="shared" si="2"/>
        <v>353.54</v>
      </c>
      <c r="I13">
        <f t="shared" si="2"/>
        <v>386.23</v>
      </c>
      <c r="J13">
        <f t="shared" si="2"/>
        <v>420.02</v>
      </c>
      <c r="K13">
        <f t="shared" si="2"/>
        <v>454.98</v>
      </c>
      <c r="L13">
        <f t="shared" si="3"/>
        <v>491.19</v>
      </c>
      <c r="M13">
        <f t="shared" si="3"/>
        <v>528.72</v>
      </c>
      <c r="N13">
        <f t="shared" si="3"/>
        <v>567.66999999999996</v>
      </c>
      <c r="O13">
        <f t="shared" si="3"/>
        <v>608.11</v>
      </c>
      <c r="P13">
        <f t="shared" si="3"/>
        <v>650.11</v>
      </c>
      <c r="Q13">
        <f t="shared" si="3"/>
        <v>693.77</v>
      </c>
      <c r="R13">
        <f t="shared" si="3"/>
        <v>739.15</v>
      </c>
      <c r="S13">
        <f t="shared" si="3"/>
        <v>786.35</v>
      </c>
      <c r="T13">
        <f t="shared" si="3"/>
        <v>835.43</v>
      </c>
      <c r="U13">
        <f t="shared" si="3"/>
        <v>886.48</v>
      </c>
      <c r="V13">
        <f t="shared" si="3"/>
        <v>939.58</v>
      </c>
      <c r="W13">
        <f t="shared" si="3"/>
        <v>994.8</v>
      </c>
      <c r="X13">
        <f t="shared" si="3"/>
        <v>1052.24</v>
      </c>
      <c r="Y13">
        <f t="shared" si="3"/>
        <v>1111.96</v>
      </c>
      <c r="AA13" s="4"/>
      <c r="AE13" s="5"/>
    </row>
    <row r="14" spans="1:31" x14ac:dyDescent="0.3">
      <c r="A14" s="133">
        <v>8.4000000000000005E-2</v>
      </c>
      <c r="B14">
        <f t="shared" si="2"/>
        <v>190.35</v>
      </c>
      <c r="C14">
        <f t="shared" si="2"/>
        <v>220.37</v>
      </c>
      <c r="D14">
        <f t="shared" si="2"/>
        <v>250.99</v>
      </c>
      <c r="E14">
        <f t="shared" si="2"/>
        <v>282.31</v>
      </c>
      <c r="F14">
        <f t="shared" si="2"/>
        <v>314.39999999999998</v>
      </c>
      <c r="G14">
        <f t="shared" si="2"/>
        <v>347.34</v>
      </c>
      <c r="H14">
        <f t="shared" si="2"/>
        <v>381.21</v>
      </c>
      <c r="I14">
        <f t="shared" si="2"/>
        <v>416.09</v>
      </c>
      <c r="J14">
        <f t="shared" si="2"/>
        <v>452.06</v>
      </c>
      <c r="K14">
        <f t="shared" si="2"/>
        <v>489.21</v>
      </c>
      <c r="L14">
        <f t="shared" si="3"/>
        <v>527.6</v>
      </c>
      <c r="M14">
        <f t="shared" si="3"/>
        <v>567.32000000000005</v>
      </c>
      <c r="N14">
        <f t="shared" si="3"/>
        <v>608.45000000000005</v>
      </c>
      <c r="O14">
        <f t="shared" si="3"/>
        <v>651.08000000000004</v>
      </c>
      <c r="P14">
        <f t="shared" si="3"/>
        <v>695.27</v>
      </c>
      <c r="Q14">
        <f t="shared" si="3"/>
        <v>741.11</v>
      </c>
      <c r="R14">
        <f t="shared" si="3"/>
        <v>788.68</v>
      </c>
      <c r="S14">
        <f t="shared" si="3"/>
        <v>838.06</v>
      </c>
      <c r="T14">
        <f t="shared" si="3"/>
        <v>889.32</v>
      </c>
      <c r="U14">
        <f t="shared" si="3"/>
        <v>942.56</v>
      </c>
      <c r="V14">
        <f t="shared" si="3"/>
        <v>997.84</v>
      </c>
      <c r="W14">
        <f t="shared" si="3"/>
        <v>1055.25</v>
      </c>
      <c r="X14">
        <f t="shared" si="3"/>
        <v>1114.8699999999999</v>
      </c>
      <c r="Y14">
        <f t="shared" si="3"/>
        <v>1176.77</v>
      </c>
      <c r="AA14" s="4"/>
      <c r="AB14" s="132"/>
      <c r="AD14" t="s">
        <v>17</v>
      </c>
      <c r="AE14" s="14">
        <v>0</v>
      </c>
    </row>
    <row r="15" spans="1:31" x14ac:dyDescent="0.3">
      <c r="A15" s="133">
        <v>9.0999999999999998E-2</v>
      </c>
      <c r="B15">
        <f t="shared" si="2"/>
        <v>204.89</v>
      </c>
      <c r="C15">
        <f t="shared" si="2"/>
        <v>237.09</v>
      </c>
      <c r="D15">
        <f t="shared" si="2"/>
        <v>269.89</v>
      </c>
      <c r="E15">
        <f t="shared" si="2"/>
        <v>303.39</v>
      </c>
      <c r="F15">
        <f t="shared" si="2"/>
        <v>337.66</v>
      </c>
      <c r="G15">
        <f t="shared" si="2"/>
        <v>372.78</v>
      </c>
      <c r="H15">
        <f t="shared" si="2"/>
        <v>408.83</v>
      </c>
      <c r="I15">
        <f t="shared" si="2"/>
        <v>445.9</v>
      </c>
      <c r="J15">
        <f t="shared" si="2"/>
        <v>484.05</v>
      </c>
      <c r="K15">
        <f t="shared" si="2"/>
        <v>523.37</v>
      </c>
      <c r="L15">
        <f t="shared" si="3"/>
        <v>563.95000000000005</v>
      </c>
      <c r="M15">
        <f t="shared" si="3"/>
        <v>605.85</v>
      </c>
      <c r="N15">
        <f t="shared" si="3"/>
        <v>649.16</v>
      </c>
      <c r="O15">
        <f t="shared" si="3"/>
        <v>693.97</v>
      </c>
      <c r="P15">
        <f t="shared" si="3"/>
        <v>740.34</v>
      </c>
      <c r="Q15">
        <f t="shared" si="3"/>
        <v>788.36</v>
      </c>
      <c r="R15">
        <f t="shared" si="3"/>
        <v>838.11</v>
      </c>
      <c r="S15">
        <f t="shared" si="3"/>
        <v>889.67</v>
      </c>
      <c r="T15">
        <f t="shared" si="3"/>
        <v>943.12</v>
      </c>
      <c r="U15">
        <f t="shared" si="3"/>
        <v>998.53</v>
      </c>
      <c r="V15">
        <f t="shared" si="3"/>
        <v>1056</v>
      </c>
      <c r="W15">
        <f t="shared" si="3"/>
        <v>1115.5899999999999</v>
      </c>
      <c r="X15">
        <f t="shared" si="3"/>
        <v>1177.3900000000001</v>
      </c>
      <c r="Y15">
        <f t="shared" si="3"/>
        <v>1241.47</v>
      </c>
      <c r="AA15" s="4"/>
      <c r="AD15" t="s">
        <v>16</v>
      </c>
      <c r="AE15" s="5">
        <f>AE14/3.6</f>
        <v>0</v>
      </c>
    </row>
    <row r="16" spans="1:31" x14ac:dyDescent="0.3">
      <c r="A16" s="133">
        <v>9.8000000000000004E-2</v>
      </c>
      <c r="B16">
        <f t="shared" si="2"/>
        <v>219.4</v>
      </c>
      <c r="C16">
        <f t="shared" si="2"/>
        <v>253.77</v>
      </c>
      <c r="D16">
        <f t="shared" si="2"/>
        <v>288.76</v>
      </c>
      <c r="E16">
        <f t="shared" si="2"/>
        <v>324.43</v>
      </c>
      <c r="F16">
        <f t="shared" si="2"/>
        <v>360.88</v>
      </c>
      <c r="G16">
        <f t="shared" si="2"/>
        <v>398.18</v>
      </c>
      <c r="H16">
        <f t="shared" si="2"/>
        <v>436.41</v>
      </c>
      <c r="I16">
        <f t="shared" si="2"/>
        <v>475.65</v>
      </c>
      <c r="J16">
        <f t="shared" si="2"/>
        <v>515.98</v>
      </c>
      <c r="K16">
        <f t="shared" si="2"/>
        <v>557.48</v>
      </c>
      <c r="L16">
        <f t="shared" si="3"/>
        <v>600.23</v>
      </c>
      <c r="M16">
        <f t="shared" si="3"/>
        <v>644.30999999999995</v>
      </c>
      <c r="N16">
        <f t="shared" si="3"/>
        <v>689.8</v>
      </c>
      <c r="O16">
        <f t="shared" si="3"/>
        <v>736.78</v>
      </c>
      <c r="P16">
        <f t="shared" si="3"/>
        <v>785.32</v>
      </c>
      <c r="Q16">
        <f t="shared" si="3"/>
        <v>835.52</v>
      </c>
      <c r="R16">
        <f t="shared" si="3"/>
        <v>887.45</v>
      </c>
      <c r="S16">
        <f t="shared" si="3"/>
        <v>941.19</v>
      </c>
      <c r="T16">
        <f>_xludf.power($AE$20,$A16,$AB$8,$AB$2,$AB$5,$AB$22,$AB$12,$AB$21,T$1,$AE$19,$AC$3,$AB$3,$AB$4,$AB$7,$AE$15)</f>
        <v>996.81</v>
      </c>
      <c r="U16">
        <f t="shared" si="3"/>
        <v>1054.4000000000001</v>
      </c>
      <c r="V16">
        <f t="shared" si="3"/>
        <v>1114.04</v>
      </c>
      <c r="W16">
        <f t="shared" si="3"/>
        <v>1175.81</v>
      </c>
      <c r="X16">
        <f t="shared" si="3"/>
        <v>1239.79</v>
      </c>
      <c r="Y16">
        <f t="shared" si="3"/>
        <v>1306.05</v>
      </c>
      <c r="AA16" s="4"/>
      <c r="AD16" s="153" t="s">
        <v>88</v>
      </c>
      <c r="AE16" s="154"/>
    </row>
    <row r="17" spans="1:31" x14ac:dyDescent="0.3">
      <c r="A17" s="133">
        <v>0.105</v>
      </c>
      <c r="B17">
        <f t="shared" si="2"/>
        <v>233.88</v>
      </c>
      <c r="C17">
        <f t="shared" si="2"/>
        <v>270.43</v>
      </c>
      <c r="D17">
        <f t="shared" si="2"/>
        <v>307.58</v>
      </c>
      <c r="E17">
        <f t="shared" si="2"/>
        <v>345.43</v>
      </c>
      <c r="F17">
        <f t="shared" si="2"/>
        <v>384.05</v>
      </c>
      <c r="G17">
        <f t="shared" si="2"/>
        <v>423.52</v>
      </c>
      <c r="H17">
        <f t="shared" si="2"/>
        <v>463.92</v>
      </c>
      <c r="I17">
        <f t="shared" si="2"/>
        <v>505.33</v>
      </c>
      <c r="J17">
        <f t="shared" si="2"/>
        <v>547.83000000000004</v>
      </c>
      <c r="K17">
        <f t="shared" si="2"/>
        <v>591.51</v>
      </c>
      <c r="L17">
        <f t="shared" si="3"/>
        <v>636.42999999999995</v>
      </c>
      <c r="M17">
        <f t="shared" si="3"/>
        <v>682.68</v>
      </c>
      <c r="N17">
        <f t="shared" si="3"/>
        <v>730.34</v>
      </c>
      <c r="O17">
        <f t="shared" si="3"/>
        <v>779.5</v>
      </c>
      <c r="P17">
        <f t="shared" si="3"/>
        <v>830.22</v>
      </c>
      <c r="Q17">
        <f t="shared" si="3"/>
        <v>882.59</v>
      </c>
      <c r="R17">
        <f t="shared" si="3"/>
        <v>936.69</v>
      </c>
      <c r="S17">
        <f t="shared" si="3"/>
        <v>992.59</v>
      </c>
      <c r="T17">
        <f t="shared" si="3"/>
        <v>1050.3900000000001</v>
      </c>
      <c r="U17">
        <f t="shared" si="3"/>
        <v>1110.1500000000001</v>
      </c>
      <c r="V17">
        <f t="shared" si="3"/>
        <v>1171.97</v>
      </c>
      <c r="W17">
        <f t="shared" si="3"/>
        <v>1235.9100000000001</v>
      </c>
      <c r="X17">
        <f t="shared" si="3"/>
        <v>1302.06</v>
      </c>
      <c r="Y17">
        <f t="shared" si="3"/>
        <v>1370.49</v>
      </c>
      <c r="AA17" s="7" t="s">
        <v>43</v>
      </c>
      <c r="AB17">
        <v>1.2250000000000001</v>
      </c>
      <c r="AD17" s="153"/>
      <c r="AE17" s="154"/>
    </row>
    <row r="18" spans="1:31" x14ac:dyDescent="0.3">
      <c r="A18" s="133">
        <v>0.112</v>
      </c>
      <c r="B18">
        <f t="shared" si="2"/>
        <v>248.33</v>
      </c>
      <c r="C18">
        <f t="shared" si="2"/>
        <v>287.04000000000002</v>
      </c>
      <c r="D18">
        <f t="shared" si="2"/>
        <v>326.37</v>
      </c>
      <c r="E18">
        <f t="shared" si="2"/>
        <v>366.38</v>
      </c>
      <c r="F18">
        <f t="shared" si="2"/>
        <v>407.17</v>
      </c>
      <c r="G18">
        <f t="shared" si="2"/>
        <v>448.81</v>
      </c>
      <c r="H18">
        <f t="shared" si="2"/>
        <v>491.37</v>
      </c>
      <c r="I18">
        <f t="shared" si="2"/>
        <v>534.95000000000005</v>
      </c>
      <c r="J18">
        <f t="shared" si="2"/>
        <v>579.62</v>
      </c>
      <c r="K18">
        <f t="shared" si="2"/>
        <v>625.46</v>
      </c>
      <c r="L18">
        <f t="shared" si="3"/>
        <v>672.55</v>
      </c>
      <c r="M18">
        <f t="shared" si="3"/>
        <v>720.97</v>
      </c>
      <c r="N18">
        <f t="shared" si="3"/>
        <v>770.8</v>
      </c>
      <c r="O18">
        <f t="shared" si="3"/>
        <v>822.12</v>
      </c>
      <c r="P18">
        <f t="shared" si="3"/>
        <v>875.01</v>
      </c>
      <c r="Q18">
        <f t="shared" si="3"/>
        <v>929.55</v>
      </c>
      <c r="R18">
        <f t="shared" si="3"/>
        <v>985.81</v>
      </c>
      <c r="S18">
        <f t="shared" si="3"/>
        <v>1043.8900000000001</v>
      </c>
      <c r="T18">
        <f t="shared" si="3"/>
        <v>1103.8499999999999</v>
      </c>
      <c r="U18">
        <f t="shared" si="3"/>
        <v>1165.78</v>
      </c>
      <c r="V18">
        <f t="shared" si="3"/>
        <v>1229.76</v>
      </c>
      <c r="W18">
        <f t="shared" si="3"/>
        <v>1295.8699999999999</v>
      </c>
      <c r="X18">
        <f t="shared" si="3"/>
        <v>1364.19</v>
      </c>
      <c r="Y18">
        <f t="shared" si="3"/>
        <v>1434.79</v>
      </c>
      <c r="AA18" s="4" t="s">
        <v>11</v>
      </c>
      <c r="AB18">
        <v>8.3144500000000008</v>
      </c>
      <c r="AD18" s="120"/>
      <c r="AE18" s="117"/>
    </row>
    <row r="19" spans="1:31" x14ac:dyDescent="0.3">
      <c r="A19" s="133">
        <v>0.11899999999999999</v>
      </c>
      <c r="B19">
        <f t="shared" si="2"/>
        <v>262.75</v>
      </c>
      <c r="C19">
        <f t="shared" si="2"/>
        <v>303.62</v>
      </c>
      <c r="D19">
        <f t="shared" si="2"/>
        <v>345.11</v>
      </c>
      <c r="E19">
        <f t="shared" si="2"/>
        <v>387.28</v>
      </c>
      <c r="F19">
        <f t="shared" si="2"/>
        <v>430.23</v>
      </c>
      <c r="G19">
        <f t="shared" si="2"/>
        <v>474.03</v>
      </c>
      <c r="H19">
        <f t="shared" si="2"/>
        <v>518.76</v>
      </c>
      <c r="I19">
        <f t="shared" si="2"/>
        <v>564.5</v>
      </c>
      <c r="J19">
        <f t="shared" si="2"/>
        <v>611.34</v>
      </c>
      <c r="K19">
        <f t="shared" si="2"/>
        <v>659.34</v>
      </c>
      <c r="L19">
        <f t="shared" si="3"/>
        <v>708.59</v>
      </c>
      <c r="M19">
        <f t="shared" si="3"/>
        <v>759.17</v>
      </c>
      <c r="N19">
        <f t="shared" si="3"/>
        <v>811.16</v>
      </c>
      <c r="O19">
        <f t="shared" si="3"/>
        <v>864.65</v>
      </c>
      <c r="P19">
        <f t="shared" si="3"/>
        <v>919.7</v>
      </c>
      <c r="Q19">
        <f t="shared" si="3"/>
        <v>976.4</v>
      </c>
      <c r="R19">
        <f t="shared" si="3"/>
        <v>1034.83</v>
      </c>
      <c r="S19">
        <f t="shared" si="3"/>
        <v>1095.06</v>
      </c>
      <c r="T19">
        <f t="shared" si="3"/>
        <v>1157.19</v>
      </c>
      <c r="U19">
        <f t="shared" si="3"/>
        <v>1221.28</v>
      </c>
      <c r="V19">
        <f t="shared" si="3"/>
        <v>1287.43</v>
      </c>
      <c r="W19">
        <f t="shared" si="3"/>
        <v>1355.7</v>
      </c>
      <c r="X19">
        <f t="shared" si="3"/>
        <v>1426.17</v>
      </c>
      <c r="Y19">
        <f t="shared" si="3"/>
        <v>1498.94</v>
      </c>
      <c r="AA19" s="4" t="s">
        <v>12</v>
      </c>
      <c r="AB19" s="6">
        <v>20</v>
      </c>
      <c r="AC19">
        <f>AB19+273.15</f>
        <v>293.14999999999998</v>
      </c>
      <c r="AD19" t="s">
        <v>5</v>
      </c>
      <c r="AE19" s="8">
        <v>0.03</v>
      </c>
    </row>
    <row r="20" spans="1:31" x14ac:dyDescent="0.3">
      <c r="A20" s="133">
        <v>0.126</v>
      </c>
      <c r="B20">
        <f t="shared" si="2"/>
        <v>277.13</v>
      </c>
      <c r="C20">
        <f t="shared" si="2"/>
        <v>320.16000000000003</v>
      </c>
      <c r="D20">
        <f t="shared" si="2"/>
        <v>363.8</v>
      </c>
      <c r="E20">
        <f t="shared" si="2"/>
        <v>408.13</v>
      </c>
      <c r="F20">
        <f t="shared" si="2"/>
        <v>453.24</v>
      </c>
      <c r="G20">
        <f t="shared" si="2"/>
        <v>499.2</v>
      </c>
      <c r="H20">
        <f t="shared" si="2"/>
        <v>546.08000000000004</v>
      </c>
      <c r="I20">
        <f t="shared" si="2"/>
        <v>593.98</v>
      </c>
      <c r="J20">
        <f t="shared" si="2"/>
        <v>642.97</v>
      </c>
      <c r="K20">
        <f t="shared" si="2"/>
        <v>693.13</v>
      </c>
      <c r="L20">
        <f t="shared" si="3"/>
        <v>744.54</v>
      </c>
      <c r="M20">
        <f t="shared" si="3"/>
        <v>797.28</v>
      </c>
      <c r="N20">
        <f t="shared" si="3"/>
        <v>851.43</v>
      </c>
      <c r="O20">
        <f t="shared" si="3"/>
        <v>907.06</v>
      </c>
      <c r="P20">
        <f t="shared" si="3"/>
        <v>964.27</v>
      </c>
      <c r="Q20">
        <f t="shared" si="3"/>
        <v>1023.13</v>
      </c>
      <c r="R20">
        <f t="shared" si="3"/>
        <v>1083.71</v>
      </c>
      <c r="S20">
        <f t="shared" si="3"/>
        <v>1146.1099999999999</v>
      </c>
      <c r="T20">
        <f t="shared" si="3"/>
        <v>1210.3900000000001</v>
      </c>
      <c r="U20">
        <f t="shared" si="3"/>
        <v>1276.6400000000001</v>
      </c>
      <c r="V20">
        <f t="shared" si="3"/>
        <v>1344.94</v>
      </c>
      <c r="W20">
        <f t="shared" si="3"/>
        <v>1415.37</v>
      </c>
      <c r="X20">
        <f t="shared" si="3"/>
        <v>1488</v>
      </c>
      <c r="Y20">
        <f t="shared" si="3"/>
        <v>1562.93</v>
      </c>
      <c r="AA20" s="7" t="s">
        <v>44</v>
      </c>
      <c r="AB20">
        <v>2.8964400000000001E-2</v>
      </c>
      <c r="AD20" t="s">
        <v>7</v>
      </c>
      <c r="AE20" s="5">
        <v>9.8059999999999992</v>
      </c>
    </row>
    <row r="21" spans="1:31" x14ac:dyDescent="0.3">
      <c r="A21" s="133">
        <v>0.13300000000000001</v>
      </c>
      <c r="B21">
        <f t="shared" si="2"/>
        <v>291.47000000000003</v>
      </c>
      <c r="C21">
        <f t="shared" si="2"/>
        <v>336.65</v>
      </c>
      <c r="D21">
        <f t="shared" si="2"/>
        <v>382.44</v>
      </c>
      <c r="E21">
        <f t="shared" si="2"/>
        <v>428.93</v>
      </c>
      <c r="F21">
        <f t="shared" si="2"/>
        <v>476.19</v>
      </c>
      <c r="G21">
        <f t="shared" si="2"/>
        <v>524.29</v>
      </c>
      <c r="H21">
        <f t="shared" si="2"/>
        <v>573.33000000000004</v>
      </c>
      <c r="I21">
        <f t="shared" si="2"/>
        <v>623.38</v>
      </c>
      <c r="J21">
        <f t="shared" si="2"/>
        <v>674.52</v>
      </c>
      <c r="K21">
        <f t="shared" si="2"/>
        <v>726.83</v>
      </c>
      <c r="L21">
        <f t="shared" si="3"/>
        <v>780.39</v>
      </c>
      <c r="M21">
        <f t="shared" si="3"/>
        <v>835.28</v>
      </c>
      <c r="N21">
        <f t="shared" si="3"/>
        <v>891.58</v>
      </c>
      <c r="O21">
        <f t="shared" si="3"/>
        <v>949.37</v>
      </c>
      <c r="P21">
        <f t="shared" si="3"/>
        <v>1008.73</v>
      </c>
      <c r="Q21">
        <f t="shared" si="3"/>
        <v>1069.74</v>
      </c>
      <c r="R21">
        <f t="shared" si="3"/>
        <v>1132.48</v>
      </c>
      <c r="S21">
        <f t="shared" si="3"/>
        <v>1197.02</v>
      </c>
      <c r="T21">
        <f t="shared" si="3"/>
        <v>1263.45</v>
      </c>
      <c r="U21">
        <f t="shared" si="3"/>
        <v>1331.86</v>
      </c>
      <c r="V21">
        <f t="shared" si="3"/>
        <v>1402.31</v>
      </c>
      <c r="W21">
        <f t="shared" si="3"/>
        <v>1474.89</v>
      </c>
      <c r="X21">
        <f t="shared" si="3"/>
        <v>1549.67</v>
      </c>
      <c r="Y21">
        <f t="shared" si="3"/>
        <v>1626.75</v>
      </c>
      <c r="AA21" s="4" t="s">
        <v>18</v>
      </c>
      <c r="AB21">
        <f>AB17*EXP((-AE20*AB20*AB11)/(AB18*AC19))</f>
        <v>1.2108080798932019</v>
      </c>
      <c r="AE21" s="5"/>
    </row>
    <row r="22" spans="1:31" x14ac:dyDescent="0.3">
      <c r="A22" s="133">
        <v>0.14000000000000001</v>
      </c>
      <c r="B22">
        <f t="shared" ref="B22:K31" si="4">_xludf.power($AE$20,$A22,$AB$8,$AB$2,$AB$5,$AB$22,$AB$12,$AB$21,B$1,$AE$19,$AC$3,$AB$3,$AB$4,$AB$7,$AE$15)</f>
        <v>305.77</v>
      </c>
      <c r="C22">
        <f t="shared" si="4"/>
        <v>353.1</v>
      </c>
      <c r="D22">
        <f t="shared" si="4"/>
        <v>401.04</v>
      </c>
      <c r="E22">
        <f t="shared" si="4"/>
        <v>449.67</v>
      </c>
      <c r="F22">
        <f t="shared" si="4"/>
        <v>499.07</v>
      </c>
      <c r="G22">
        <f t="shared" si="4"/>
        <v>549.32000000000005</v>
      </c>
      <c r="H22">
        <f t="shared" si="4"/>
        <v>600.51</v>
      </c>
      <c r="I22">
        <f t="shared" si="4"/>
        <v>652.70000000000005</v>
      </c>
      <c r="J22">
        <f t="shared" si="4"/>
        <v>705.98</v>
      </c>
      <c r="K22">
        <f t="shared" si="4"/>
        <v>760.44</v>
      </c>
      <c r="L22">
        <f t="shared" ref="L22:Y31" si="5">_xludf.power($AE$20,$A22,$AB$8,$AB$2,$AB$5,$AB$22,$AB$12,$AB$21,L$1,$AE$19,$AC$3,$AB$3,$AB$4,$AB$7,$AE$15)</f>
        <v>816.15</v>
      </c>
      <c r="M22">
        <f t="shared" si="5"/>
        <v>873.18</v>
      </c>
      <c r="N22">
        <f t="shared" si="5"/>
        <v>931.63</v>
      </c>
      <c r="O22">
        <f t="shared" si="5"/>
        <v>991.56</v>
      </c>
      <c r="P22">
        <f t="shared" si="5"/>
        <v>1053.07</v>
      </c>
      <c r="Q22">
        <f t="shared" si="5"/>
        <v>1116.22</v>
      </c>
      <c r="R22">
        <f t="shared" si="5"/>
        <v>1181.0999999999999</v>
      </c>
      <c r="S22">
        <f t="shared" si="5"/>
        <v>1247.79</v>
      </c>
      <c r="T22">
        <f t="shared" si="5"/>
        <v>1316.37</v>
      </c>
      <c r="U22">
        <f t="shared" si="5"/>
        <v>1386.92</v>
      </c>
      <c r="V22">
        <f t="shared" si="5"/>
        <v>1459.51</v>
      </c>
      <c r="W22">
        <f t="shared" si="5"/>
        <v>1534.24</v>
      </c>
      <c r="X22">
        <f t="shared" si="5"/>
        <v>1611.17</v>
      </c>
      <c r="Y22">
        <f t="shared" si="5"/>
        <v>1690.39</v>
      </c>
      <c r="AA22" s="4" t="s">
        <v>9</v>
      </c>
      <c r="AB22" s="9">
        <v>5.0000000000000001E-3</v>
      </c>
      <c r="AE22" s="5"/>
    </row>
    <row r="23" spans="1:31" x14ac:dyDescent="0.3">
      <c r="A23" s="133">
        <v>0.14699999999999999</v>
      </c>
      <c r="B23">
        <f t="shared" si="4"/>
        <v>320.02999999999997</v>
      </c>
      <c r="C23">
        <f t="shared" si="4"/>
        <v>369.5</v>
      </c>
      <c r="D23">
        <f t="shared" si="4"/>
        <v>419.57</v>
      </c>
      <c r="E23">
        <f t="shared" si="4"/>
        <v>470.34</v>
      </c>
      <c r="F23">
        <f t="shared" si="4"/>
        <v>521.88</v>
      </c>
      <c r="G23">
        <f t="shared" si="4"/>
        <v>574.28</v>
      </c>
      <c r="H23">
        <f t="shared" si="4"/>
        <v>627.6</v>
      </c>
      <c r="I23">
        <f t="shared" si="4"/>
        <v>681.93</v>
      </c>
      <c r="J23">
        <f t="shared" si="4"/>
        <v>737.36</v>
      </c>
      <c r="K23">
        <f t="shared" si="4"/>
        <v>793.95</v>
      </c>
      <c r="L23">
        <f t="shared" si="5"/>
        <v>851.8</v>
      </c>
      <c r="M23">
        <f t="shared" si="5"/>
        <v>910.97</v>
      </c>
      <c r="N23">
        <f t="shared" si="5"/>
        <v>971.55</v>
      </c>
      <c r="O23">
        <f t="shared" si="5"/>
        <v>1033.6300000000001</v>
      </c>
      <c r="P23">
        <f t="shared" si="5"/>
        <v>1097.27</v>
      </c>
      <c r="Q23">
        <f t="shared" si="5"/>
        <v>1162.56</v>
      </c>
      <c r="R23">
        <f t="shared" si="5"/>
        <v>1229.58</v>
      </c>
      <c r="S23">
        <f t="shared" si="5"/>
        <v>1298.4100000000001</v>
      </c>
      <c r="T23">
        <f t="shared" si="5"/>
        <v>1369.13</v>
      </c>
      <c r="U23">
        <f t="shared" si="5"/>
        <v>1441.82</v>
      </c>
      <c r="V23">
        <f t="shared" si="5"/>
        <v>1516.55</v>
      </c>
      <c r="W23">
        <f t="shared" si="5"/>
        <v>1593.42</v>
      </c>
      <c r="X23">
        <f t="shared" si="5"/>
        <v>1672.49</v>
      </c>
      <c r="Y23">
        <f t="shared" si="5"/>
        <v>1753.84</v>
      </c>
      <c r="AA23" s="4"/>
      <c r="AC23" s="153"/>
      <c r="AE23" s="5"/>
    </row>
    <row r="24" spans="1:31" ht="16.2" thickBot="1" x14ac:dyDescent="0.35">
      <c r="A24" s="133">
        <v>0.154</v>
      </c>
      <c r="B24">
        <f t="shared" si="4"/>
        <v>334.25</v>
      </c>
      <c r="C24">
        <f t="shared" si="4"/>
        <v>385.85</v>
      </c>
      <c r="D24">
        <f t="shared" si="4"/>
        <v>438.06</v>
      </c>
      <c r="E24">
        <f t="shared" si="4"/>
        <v>490.96</v>
      </c>
      <c r="F24">
        <f t="shared" si="4"/>
        <v>544.63</v>
      </c>
      <c r="G24">
        <f t="shared" si="4"/>
        <v>599.15</v>
      </c>
      <c r="H24">
        <f t="shared" si="4"/>
        <v>654.61</v>
      </c>
      <c r="I24">
        <f t="shared" si="4"/>
        <v>711.08</v>
      </c>
      <c r="J24">
        <f t="shared" si="4"/>
        <v>768.63</v>
      </c>
      <c r="K24">
        <f t="shared" si="4"/>
        <v>827.36</v>
      </c>
      <c r="L24">
        <f t="shared" si="5"/>
        <v>887.34</v>
      </c>
      <c r="M24">
        <f t="shared" si="5"/>
        <v>948.64</v>
      </c>
      <c r="N24">
        <f t="shared" si="5"/>
        <v>1011.36</v>
      </c>
      <c r="O24">
        <f t="shared" si="5"/>
        <v>1075.57</v>
      </c>
      <c r="P24">
        <f t="shared" si="5"/>
        <v>1141.3399999999999</v>
      </c>
      <c r="Q24">
        <f t="shared" si="5"/>
        <v>1208.77</v>
      </c>
      <c r="R24">
        <f t="shared" si="5"/>
        <v>1277.92</v>
      </c>
      <c r="S24">
        <f t="shared" si="5"/>
        <v>1348.88</v>
      </c>
      <c r="T24">
        <f t="shared" si="5"/>
        <v>1421.73</v>
      </c>
      <c r="U24">
        <f t="shared" si="5"/>
        <v>1496.55</v>
      </c>
      <c r="V24">
        <f t="shared" si="5"/>
        <v>1573.42</v>
      </c>
      <c r="W24">
        <f t="shared" si="5"/>
        <v>1652.41</v>
      </c>
      <c r="X24">
        <f t="shared" si="5"/>
        <v>1733.62</v>
      </c>
      <c r="Y24">
        <f t="shared" si="5"/>
        <v>1817.11</v>
      </c>
      <c r="AA24" s="10"/>
      <c r="AB24" s="11"/>
      <c r="AC24" s="155"/>
      <c r="AD24" s="84"/>
      <c r="AE24" s="131"/>
    </row>
    <row r="25" spans="1:31" x14ac:dyDescent="0.3">
      <c r="A25" s="133">
        <v>0.161</v>
      </c>
      <c r="B25">
        <f t="shared" si="4"/>
        <v>348.42</v>
      </c>
      <c r="C25">
        <f t="shared" si="4"/>
        <v>402.14</v>
      </c>
      <c r="D25">
        <f t="shared" si="4"/>
        <v>456.48</v>
      </c>
      <c r="E25">
        <f t="shared" si="4"/>
        <v>511.51</v>
      </c>
      <c r="F25">
        <f t="shared" si="4"/>
        <v>567.29999999999995</v>
      </c>
      <c r="G25">
        <f t="shared" si="4"/>
        <v>623.95000000000005</v>
      </c>
      <c r="H25">
        <f t="shared" si="4"/>
        <v>681.53</v>
      </c>
      <c r="I25">
        <f t="shared" si="4"/>
        <v>740.13</v>
      </c>
      <c r="J25">
        <f t="shared" si="4"/>
        <v>799.81</v>
      </c>
      <c r="K25">
        <f t="shared" si="4"/>
        <v>860.66</v>
      </c>
      <c r="L25">
        <f t="shared" si="5"/>
        <v>922.76</v>
      </c>
      <c r="M25">
        <f t="shared" si="5"/>
        <v>986.2</v>
      </c>
      <c r="N25">
        <f t="shared" si="5"/>
        <v>1051.04</v>
      </c>
      <c r="O25">
        <f t="shared" si="5"/>
        <v>1117.3699999999999</v>
      </c>
      <c r="P25">
        <f t="shared" si="5"/>
        <v>1185.27</v>
      </c>
      <c r="Q25">
        <f t="shared" si="5"/>
        <v>1254.82</v>
      </c>
      <c r="R25">
        <f t="shared" si="5"/>
        <v>1326.1</v>
      </c>
      <c r="S25">
        <f t="shared" si="5"/>
        <v>1399.19</v>
      </c>
      <c r="T25">
        <f t="shared" si="5"/>
        <v>1474.17</v>
      </c>
      <c r="U25">
        <f t="shared" si="5"/>
        <v>1551.11</v>
      </c>
      <c r="V25">
        <f t="shared" si="5"/>
        <v>1630.1</v>
      </c>
      <c r="W25">
        <f t="shared" si="5"/>
        <v>1711.22</v>
      </c>
      <c r="X25">
        <f t="shared" si="5"/>
        <v>1794.55</v>
      </c>
      <c r="Y25">
        <f t="shared" si="5"/>
        <v>1880.17</v>
      </c>
    </row>
    <row r="26" spans="1:31" x14ac:dyDescent="0.3">
      <c r="A26" s="133">
        <v>0.16800000000000001</v>
      </c>
      <c r="B26">
        <f t="shared" si="4"/>
        <v>362.54</v>
      </c>
      <c r="C26">
        <f t="shared" si="4"/>
        <v>418.38</v>
      </c>
      <c r="D26">
        <f t="shared" si="4"/>
        <v>474.84</v>
      </c>
      <c r="E26">
        <f t="shared" si="4"/>
        <v>531.98</v>
      </c>
      <c r="F26">
        <f t="shared" si="4"/>
        <v>589.9</v>
      </c>
      <c r="G26">
        <f t="shared" si="4"/>
        <v>648.66999999999996</v>
      </c>
      <c r="H26">
        <f t="shared" si="4"/>
        <v>708.37</v>
      </c>
      <c r="I26">
        <f t="shared" si="4"/>
        <v>769.08</v>
      </c>
      <c r="J26">
        <f t="shared" si="4"/>
        <v>830.88</v>
      </c>
      <c r="K26">
        <f t="shared" si="4"/>
        <v>893.85</v>
      </c>
      <c r="L26">
        <f t="shared" si="5"/>
        <v>958.07</v>
      </c>
      <c r="M26">
        <f t="shared" si="5"/>
        <v>1023.62</v>
      </c>
      <c r="N26">
        <f t="shared" si="5"/>
        <v>1090.5899999999999</v>
      </c>
      <c r="O26">
        <f t="shared" si="5"/>
        <v>1159.04</v>
      </c>
      <c r="P26">
        <f t="shared" si="5"/>
        <v>1229.06</v>
      </c>
      <c r="Q26">
        <f t="shared" si="5"/>
        <v>1300.72</v>
      </c>
      <c r="R26">
        <f t="shared" si="5"/>
        <v>1374.12</v>
      </c>
      <c r="S26">
        <f t="shared" si="5"/>
        <v>1449.33</v>
      </c>
      <c r="T26">
        <f t="shared" si="5"/>
        <v>1526.42</v>
      </c>
      <c r="U26">
        <f t="shared" si="5"/>
        <v>1605.49</v>
      </c>
      <c r="V26">
        <f t="shared" si="5"/>
        <v>1686.6</v>
      </c>
      <c r="W26">
        <f t="shared" si="5"/>
        <v>1769.84</v>
      </c>
      <c r="X26">
        <f t="shared" si="5"/>
        <v>1855.28</v>
      </c>
      <c r="Y26">
        <f t="shared" si="5"/>
        <v>1943.02</v>
      </c>
    </row>
    <row r="27" spans="1:31" x14ac:dyDescent="0.3">
      <c r="A27" s="133">
        <v>0.17499999999999999</v>
      </c>
      <c r="B27">
        <f t="shared" si="4"/>
        <v>376.62</v>
      </c>
      <c r="C27">
        <f t="shared" si="4"/>
        <v>434.57</v>
      </c>
      <c r="D27">
        <f t="shared" si="4"/>
        <v>493.14</v>
      </c>
      <c r="E27">
        <f t="shared" si="4"/>
        <v>552.39</v>
      </c>
      <c r="F27">
        <f t="shared" si="4"/>
        <v>612.41999999999996</v>
      </c>
      <c r="G27">
        <f t="shared" si="4"/>
        <v>673.3</v>
      </c>
      <c r="H27">
        <f t="shared" si="4"/>
        <v>735.11</v>
      </c>
      <c r="I27">
        <f t="shared" si="4"/>
        <v>797.93</v>
      </c>
      <c r="J27">
        <f t="shared" si="4"/>
        <v>861.85</v>
      </c>
      <c r="K27">
        <f t="shared" si="4"/>
        <v>926.93</v>
      </c>
      <c r="L27">
        <f t="shared" si="5"/>
        <v>993.26</v>
      </c>
      <c r="M27">
        <f t="shared" si="5"/>
        <v>1060.92</v>
      </c>
      <c r="N27">
        <f t="shared" si="5"/>
        <v>1130</v>
      </c>
      <c r="O27">
        <f t="shared" si="5"/>
        <v>1200.56</v>
      </c>
      <c r="P27">
        <f t="shared" si="5"/>
        <v>1272.69</v>
      </c>
      <c r="Q27">
        <f t="shared" si="5"/>
        <v>1346.47</v>
      </c>
      <c r="R27">
        <f t="shared" si="5"/>
        <v>1421.98</v>
      </c>
      <c r="S27">
        <f t="shared" si="5"/>
        <v>1499.29</v>
      </c>
      <c r="T27">
        <f t="shared" si="5"/>
        <v>1578.5</v>
      </c>
      <c r="U27">
        <f t="shared" si="5"/>
        <v>1659.68</v>
      </c>
      <c r="V27">
        <f t="shared" si="5"/>
        <v>1742.9</v>
      </c>
      <c r="W27">
        <f t="shared" si="5"/>
        <v>1828.25</v>
      </c>
      <c r="X27">
        <f t="shared" si="5"/>
        <v>1915.81</v>
      </c>
      <c r="Y27">
        <f t="shared" si="5"/>
        <v>2005.65</v>
      </c>
    </row>
    <row r="28" spans="1:31" x14ac:dyDescent="0.3">
      <c r="A28" s="133">
        <v>0.182</v>
      </c>
      <c r="B28">
        <f t="shared" si="4"/>
        <v>390.64</v>
      </c>
      <c r="C28">
        <f t="shared" si="4"/>
        <v>450.7</v>
      </c>
      <c r="D28">
        <f t="shared" si="4"/>
        <v>511.37</v>
      </c>
      <c r="E28">
        <f t="shared" si="4"/>
        <v>572.73</v>
      </c>
      <c r="F28">
        <f t="shared" si="4"/>
        <v>634.86</v>
      </c>
      <c r="G28">
        <f t="shared" si="4"/>
        <v>697.84</v>
      </c>
      <c r="H28">
        <f t="shared" si="4"/>
        <v>761.76</v>
      </c>
      <c r="I28">
        <f t="shared" si="4"/>
        <v>826.68</v>
      </c>
      <c r="J28">
        <f t="shared" si="4"/>
        <v>892.7</v>
      </c>
      <c r="K28">
        <f t="shared" si="4"/>
        <v>959.89</v>
      </c>
      <c r="L28">
        <f t="shared" si="5"/>
        <v>1028.32</v>
      </c>
      <c r="M28">
        <f t="shared" si="5"/>
        <v>1098.0899999999999</v>
      </c>
      <c r="N28">
        <f t="shared" si="5"/>
        <v>1169.26</v>
      </c>
      <c r="O28">
        <f t="shared" si="5"/>
        <v>1241.93</v>
      </c>
      <c r="P28">
        <f t="shared" si="5"/>
        <v>1316.16</v>
      </c>
      <c r="Q28">
        <f t="shared" si="5"/>
        <v>1392.05</v>
      </c>
      <c r="R28">
        <f t="shared" si="5"/>
        <v>1469.66</v>
      </c>
      <c r="S28">
        <f t="shared" si="5"/>
        <v>1549.08</v>
      </c>
      <c r="T28">
        <f t="shared" si="5"/>
        <v>1630.39</v>
      </c>
      <c r="U28">
        <f t="shared" si="5"/>
        <v>1713.67</v>
      </c>
      <c r="V28">
        <f t="shared" si="5"/>
        <v>1799</v>
      </c>
      <c r="W28">
        <f t="shared" si="5"/>
        <v>1886.45</v>
      </c>
      <c r="X28">
        <f t="shared" si="5"/>
        <v>1976.11</v>
      </c>
      <c r="Y28">
        <f t="shared" si="5"/>
        <v>2068.06</v>
      </c>
    </row>
    <row r="29" spans="1:31" x14ac:dyDescent="0.3">
      <c r="A29" s="133">
        <v>0.189</v>
      </c>
      <c r="B29">
        <f t="shared" si="4"/>
        <v>404.61</v>
      </c>
      <c r="C29">
        <f t="shared" si="4"/>
        <v>466.77</v>
      </c>
      <c r="D29">
        <f t="shared" si="4"/>
        <v>529.53</v>
      </c>
      <c r="E29">
        <f t="shared" si="4"/>
        <v>592.99</v>
      </c>
      <c r="F29">
        <f t="shared" si="4"/>
        <v>657.22</v>
      </c>
      <c r="G29">
        <f t="shared" si="4"/>
        <v>722.3</v>
      </c>
      <c r="H29">
        <f t="shared" si="4"/>
        <v>788.31</v>
      </c>
      <c r="I29">
        <f t="shared" si="4"/>
        <v>855.33</v>
      </c>
      <c r="J29">
        <f t="shared" si="4"/>
        <v>923.44</v>
      </c>
      <c r="K29">
        <f t="shared" si="4"/>
        <v>992.72</v>
      </c>
      <c r="L29">
        <f t="shared" si="5"/>
        <v>1063.25</v>
      </c>
      <c r="M29">
        <f t="shared" si="5"/>
        <v>1135.1099999999999</v>
      </c>
      <c r="N29">
        <f t="shared" si="5"/>
        <v>1208.3900000000001</v>
      </c>
      <c r="O29">
        <f t="shared" si="5"/>
        <v>1283.1500000000001</v>
      </c>
      <c r="P29">
        <f t="shared" si="5"/>
        <v>1359.48</v>
      </c>
      <c r="Q29">
        <f t="shared" si="5"/>
        <v>1437.46</v>
      </c>
      <c r="R29">
        <f t="shared" si="5"/>
        <v>1517.17</v>
      </c>
      <c r="S29">
        <f t="shared" si="5"/>
        <v>1598.68</v>
      </c>
      <c r="T29">
        <f t="shared" si="5"/>
        <v>1682.09</v>
      </c>
      <c r="U29">
        <f t="shared" si="5"/>
        <v>1767.46</v>
      </c>
      <c r="V29">
        <f t="shared" si="5"/>
        <v>1854.88</v>
      </c>
      <c r="W29">
        <f t="shared" si="5"/>
        <v>1944.43</v>
      </c>
      <c r="X29">
        <f t="shared" si="5"/>
        <v>2036.19</v>
      </c>
      <c r="Y29">
        <f t="shared" si="5"/>
        <v>2130.2399999999998</v>
      </c>
    </row>
    <row r="30" spans="1:31" x14ac:dyDescent="0.3">
      <c r="A30" s="133">
        <v>0.19600000000000001</v>
      </c>
      <c r="B30">
        <f t="shared" si="4"/>
        <v>418.53</v>
      </c>
      <c r="C30">
        <f t="shared" si="4"/>
        <v>482.77</v>
      </c>
      <c r="D30">
        <f t="shared" si="4"/>
        <v>547.63</v>
      </c>
      <c r="E30">
        <f t="shared" si="4"/>
        <v>613.16999999999996</v>
      </c>
      <c r="F30">
        <f t="shared" si="4"/>
        <v>679.49</v>
      </c>
      <c r="G30">
        <f t="shared" si="4"/>
        <v>746.65</v>
      </c>
      <c r="H30">
        <f t="shared" si="4"/>
        <v>814.75</v>
      </c>
      <c r="I30">
        <f t="shared" si="4"/>
        <v>883.86</v>
      </c>
      <c r="J30">
        <f t="shared" si="4"/>
        <v>954.06</v>
      </c>
      <c r="K30">
        <f t="shared" si="4"/>
        <v>1025.43</v>
      </c>
      <c r="L30">
        <f t="shared" si="5"/>
        <v>1098.05</v>
      </c>
      <c r="M30">
        <f t="shared" si="5"/>
        <v>1172</v>
      </c>
      <c r="N30">
        <f t="shared" si="5"/>
        <v>1247.3599999999999</v>
      </c>
      <c r="O30">
        <f t="shared" si="5"/>
        <v>1324.21</v>
      </c>
      <c r="P30">
        <f t="shared" si="5"/>
        <v>1402.62</v>
      </c>
      <c r="Q30">
        <f t="shared" si="5"/>
        <v>1482.69</v>
      </c>
      <c r="R30">
        <f t="shared" si="5"/>
        <v>1564.49</v>
      </c>
      <c r="S30">
        <f t="shared" si="5"/>
        <v>1648.09</v>
      </c>
      <c r="T30">
        <f t="shared" si="5"/>
        <v>1733.59</v>
      </c>
      <c r="U30">
        <f t="shared" si="5"/>
        <v>1821.05</v>
      </c>
      <c r="V30">
        <f t="shared" si="5"/>
        <v>1910.56</v>
      </c>
      <c r="W30">
        <f t="shared" si="5"/>
        <v>2002.19</v>
      </c>
      <c r="X30">
        <f t="shared" si="5"/>
        <v>2096.04</v>
      </c>
      <c r="Y30">
        <f t="shared" si="5"/>
        <v>2192.17</v>
      </c>
    </row>
    <row r="31" spans="1:31" x14ac:dyDescent="0.3">
      <c r="A31" s="133">
        <v>0.20300000000000001</v>
      </c>
      <c r="B31">
        <f t="shared" si="4"/>
        <v>432.39</v>
      </c>
      <c r="C31">
        <f t="shared" si="4"/>
        <v>498.71</v>
      </c>
      <c r="D31">
        <f t="shared" si="4"/>
        <v>565.65</v>
      </c>
      <c r="E31">
        <f t="shared" si="4"/>
        <v>633.27</v>
      </c>
      <c r="F31">
        <f t="shared" si="4"/>
        <v>701.67</v>
      </c>
      <c r="G31">
        <f t="shared" si="4"/>
        <v>770.91</v>
      </c>
      <c r="H31">
        <f t="shared" si="4"/>
        <v>841.09</v>
      </c>
      <c r="I31">
        <f t="shared" si="4"/>
        <v>912.28</v>
      </c>
      <c r="J31">
        <f t="shared" si="4"/>
        <v>984.56</v>
      </c>
      <c r="K31">
        <f t="shared" si="4"/>
        <v>1058.01</v>
      </c>
      <c r="L31">
        <f t="shared" si="5"/>
        <v>1132.7</v>
      </c>
      <c r="M31">
        <f t="shared" si="5"/>
        <v>1208.73</v>
      </c>
      <c r="N31">
        <f t="shared" si="5"/>
        <v>1286.17</v>
      </c>
      <c r="O31">
        <f t="shared" si="5"/>
        <v>1365.1</v>
      </c>
      <c r="P31">
        <f t="shared" si="5"/>
        <v>1445.6</v>
      </c>
      <c r="Q31">
        <f t="shared" si="5"/>
        <v>1527.75</v>
      </c>
      <c r="R31">
        <f t="shared" si="5"/>
        <v>1611.62</v>
      </c>
      <c r="S31">
        <f t="shared" si="5"/>
        <v>1697.3</v>
      </c>
      <c r="T31">
        <f t="shared" si="5"/>
        <v>1784.88</v>
      </c>
      <c r="U31">
        <f t="shared" si="5"/>
        <v>1874.42</v>
      </c>
      <c r="V31">
        <f t="shared" si="5"/>
        <v>1966.01</v>
      </c>
      <c r="W31">
        <f t="shared" si="5"/>
        <v>2059.7199999999998</v>
      </c>
      <c r="X31">
        <f t="shared" si="5"/>
        <v>2155.65</v>
      </c>
      <c r="Y31">
        <f t="shared" si="5"/>
        <v>2253.86</v>
      </c>
    </row>
    <row r="32" spans="1:31" x14ac:dyDescent="0.3">
      <c r="A32" s="132"/>
    </row>
    <row r="33" spans="1:1" x14ac:dyDescent="0.3">
      <c r="A33" s="132"/>
    </row>
    <row r="34" spans="1:1" x14ac:dyDescent="0.3">
      <c r="A34" s="132"/>
    </row>
    <row r="35" spans="1:1" x14ac:dyDescent="0.3">
      <c r="A35" s="132"/>
    </row>
    <row r="36" spans="1:1" x14ac:dyDescent="0.3">
      <c r="A36" s="132"/>
    </row>
    <row r="37" spans="1:1" x14ac:dyDescent="0.3">
      <c r="A37" s="132"/>
    </row>
    <row r="38" spans="1:1" x14ac:dyDescent="0.3">
      <c r="A38" s="132"/>
    </row>
    <row r="39" spans="1:1" x14ac:dyDescent="0.3">
      <c r="A39" s="132"/>
    </row>
    <row r="40" spans="1:1" x14ac:dyDescent="0.3">
      <c r="A40" s="132"/>
    </row>
    <row r="41" spans="1:1" x14ac:dyDescent="0.3">
      <c r="A41" s="132"/>
    </row>
    <row r="42" spans="1:1" x14ac:dyDescent="0.3">
      <c r="A42" s="132"/>
    </row>
    <row r="43" spans="1:1" x14ac:dyDescent="0.3">
      <c r="A43" s="132"/>
    </row>
    <row r="44" spans="1:1" x14ac:dyDescent="0.3">
      <c r="A44" s="132"/>
    </row>
    <row r="45" spans="1:1" x14ac:dyDescent="0.3">
      <c r="A45" s="132"/>
    </row>
    <row r="46" spans="1:1" x14ac:dyDescent="0.3">
      <c r="A46" s="132"/>
    </row>
    <row r="47" spans="1:1" x14ac:dyDescent="0.3">
      <c r="A47" s="132"/>
    </row>
    <row r="48" spans="1:1" x14ac:dyDescent="0.3">
      <c r="A48" s="132"/>
    </row>
    <row r="49" spans="1:1" x14ac:dyDescent="0.3">
      <c r="A49" s="132"/>
    </row>
    <row r="50" spans="1:1" x14ac:dyDescent="0.3">
      <c r="A50" s="132"/>
    </row>
    <row r="51" spans="1:1" x14ac:dyDescent="0.3">
      <c r="A51" s="132"/>
    </row>
    <row r="52" spans="1:1" x14ac:dyDescent="0.3">
      <c r="A52" s="132"/>
    </row>
    <row r="53" spans="1:1" x14ac:dyDescent="0.3">
      <c r="A53" s="132"/>
    </row>
    <row r="54" spans="1:1" x14ac:dyDescent="0.3">
      <c r="A54" s="132"/>
    </row>
    <row r="55" spans="1:1" x14ac:dyDescent="0.3">
      <c r="A55" s="132"/>
    </row>
    <row r="56" spans="1:1" x14ac:dyDescent="0.3">
      <c r="A56" s="132"/>
    </row>
    <row r="57" spans="1:1" x14ac:dyDescent="0.3">
      <c r="A57" s="132"/>
    </row>
    <row r="58" spans="1:1" x14ac:dyDescent="0.3">
      <c r="A58" s="132"/>
    </row>
    <row r="59" spans="1:1" x14ac:dyDescent="0.3">
      <c r="A59" s="132"/>
    </row>
    <row r="60" spans="1:1" x14ac:dyDescent="0.3">
      <c r="A60" s="132"/>
    </row>
    <row r="61" spans="1:1" x14ac:dyDescent="0.3">
      <c r="A61" s="132"/>
    </row>
    <row r="62" spans="1:1" x14ac:dyDescent="0.3">
      <c r="A62" s="132"/>
    </row>
    <row r="63" spans="1:1" x14ac:dyDescent="0.3">
      <c r="A63" s="132"/>
    </row>
    <row r="64" spans="1:1" x14ac:dyDescent="0.3">
      <c r="A64" s="132"/>
    </row>
    <row r="65" spans="1:1" x14ac:dyDescent="0.3">
      <c r="A65" s="132"/>
    </row>
    <row r="66" spans="1:1" x14ac:dyDescent="0.3">
      <c r="A66" s="132"/>
    </row>
    <row r="67" spans="1:1" x14ac:dyDescent="0.3">
      <c r="A67" s="132"/>
    </row>
    <row r="68" spans="1:1" x14ac:dyDescent="0.3">
      <c r="A68" s="132"/>
    </row>
    <row r="69" spans="1:1" x14ac:dyDescent="0.3">
      <c r="A69" s="132"/>
    </row>
  </sheetData>
  <mergeCells count="2">
    <mergeCell ref="AD16:AE17"/>
    <mergeCell ref="AC23:AC24"/>
  </mergeCells>
  <conditionalFormatting sqref="B25:BT69 B2:Z24 AG2:BT2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5C752-56B5-4724-9BFC-BB10EC5D76EB}">
  <sheetPr codeName="Feuil6"/>
  <dimension ref="A1:P40"/>
  <sheetViews>
    <sheetView topLeftCell="A4" zoomScale="75" workbookViewId="0">
      <selection activeCell="G28" sqref="G28"/>
    </sheetView>
  </sheetViews>
  <sheetFormatPr baseColWidth="10" defaultRowHeight="14.4" x14ac:dyDescent="0.3"/>
  <cols>
    <col min="9" max="9" width="30" bestFit="1" customWidth="1"/>
    <col min="10" max="10" width="13" bestFit="1" customWidth="1"/>
    <col min="11" max="11" width="14.109375" bestFit="1" customWidth="1"/>
    <col min="12" max="12" width="28.5546875" bestFit="1" customWidth="1"/>
    <col min="13" max="13" width="13.5546875" bestFit="1" customWidth="1"/>
    <col min="15" max="15" width="8.33203125" bestFit="1" customWidth="1"/>
    <col min="16" max="16" width="7" bestFit="1" customWidth="1"/>
  </cols>
  <sheetData>
    <row r="1" spans="1:16" ht="16.2" thickBot="1" x14ac:dyDescent="0.35">
      <c r="A1" t="s">
        <v>13</v>
      </c>
      <c r="B1" t="s">
        <v>118</v>
      </c>
      <c r="C1" t="s">
        <v>45</v>
      </c>
      <c r="I1" s="171" t="s">
        <v>73</v>
      </c>
      <c r="J1" s="172"/>
      <c r="K1" s="172"/>
      <c r="L1" s="172"/>
      <c r="M1" s="173"/>
      <c r="O1" s="169" t="s">
        <v>79</v>
      </c>
      <c r="P1" s="169"/>
    </row>
    <row r="2" spans="1:16" ht="15" thickBot="1" x14ac:dyDescent="0.35">
      <c r="A2">
        <v>0.28999999999999998</v>
      </c>
      <c r="B2" s="28">
        <f>(($M$38*COS(ATAN($G$3))*($J$19+$J$3+$J$8)*$M$35+$M$38*SIN(ATAN($G$3))*($J$19+$J$3+$J$8)+0.5*A2*$J$38*((C2/3.6)+$M$29)^2)*(C2/3.6))/(1-$M$36)-((($K$4-$J$4)*(C2/3.6)^3)/(45/3.6)^3)+$J$5-(($J$7)*(C2/3.6)^3)/((45/3.6)^3)</f>
        <v>200.00004539190576</v>
      </c>
      <c r="C2" s="130">
        <v>36.219689779660897</v>
      </c>
      <c r="I2" s="121"/>
      <c r="J2" s="76" t="s">
        <v>1</v>
      </c>
      <c r="K2" s="76" t="s">
        <v>2</v>
      </c>
      <c r="L2" s="76" t="s">
        <v>20</v>
      </c>
      <c r="M2" s="122"/>
      <c r="O2" s="170" t="s">
        <v>21</v>
      </c>
      <c r="P2" s="170"/>
    </row>
    <row r="3" spans="1:16" x14ac:dyDescent="0.3">
      <c r="A3">
        <v>0.29499999999999998</v>
      </c>
      <c r="B3" s="28">
        <f t="shared" ref="B3:B26" si="0">(($M$38*COS(ATAN($G$3))*($J$19+$J$3+$J$8)*$M$35+$M$38*SIN(ATAN($G$3))*($J$19+$J$3+$J$8)+0.5*A3*$J$38*((C3/3.6)+$M$29)^2)*(C3/3.6))/(1-$M$36)-((($K$4-$J$4)*(C3/3.6)^3)/(45/3.6)^3)+$J$5-(($J$7)*(C3/3.6)^3)/((45/3.6)^3)</f>
        <v>200.00004526170903</v>
      </c>
      <c r="C3" s="130">
        <v>36.003507688511604</v>
      </c>
      <c r="F3" t="s">
        <v>42</v>
      </c>
      <c r="G3" s="132">
        <v>0</v>
      </c>
      <c r="I3" s="13" t="s">
        <v>92</v>
      </c>
      <c r="J3" s="123">
        <v>7.85</v>
      </c>
      <c r="K3" s="123">
        <v>7</v>
      </c>
      <c r="L3" s="124">
        <v>7.4</v>
      </c>
      <c r="M3" s="39"/>
      <c r="O3" s="110" t="s">
        <v>89</v>
      </c>
      <c r="P3" s="110">
        <v>0.40799999999999997</v>
      </c>
    </row>
    <row r="4" spans="1:16" x14ac:dyDescent="0.3">
      <c r="A4">
        <v>0.3</v>
      </c>
      <c r="B4" s="28">
        <f t="shared" si="0"/>
        <v>200.00004513302855</v>
      </c>
      <c r="C4" s="130">
        <v>35.792569239163058</v>
      </c>
      <c r="I4" s="4" t="s">
        <v>36</v>
      </c>
      <c r="J4" s="6">
        <v>204</v>
      </c>
      <c r="K4" s="6">
        <v>235</v>
      </c>
      <c r="L4" s="42">
        <v>225</v>
      </c>
      <c r="M4" s="5"/>
      <c r="O4" s="110" t="s">
        <v>90</v>
      </c>
      <c r="P4" s="110">
        <v>0.32400000000000001</v>
      </c>
    </row>
    <row r="5" spans="1:16" x14ac:dyDescent="0.3">
      <c r="A5">
        <v>0.30499999999999999</v>
      </c>
      <c r="B5" s="28">
        <f t="shared" si="0"/>
        <v>200.00004500585047</v>
      </c>
      <c r="C5" s="130">
        <v>35.586653707269065</v>
      </c>
      <c r="I5" s="4" t="s">
        <v>41</v>
      </c>
      <c r="J5" s="54">
        <v>0</v>
      </c>
      <c r="K5" s="54">
        <v>3</v>
      </c>
      <c r="L5" s="43">
        <v>0</v>
      </c>
      <c r="M5" s="5" t="s">
        <v>50</v>
      </c>
      <c r="O5" s="110" t="s">
        <v>91</v>
      </c>
      <c r="P5" s="110">
        <v>0.307</v>
      </c>
    </row>
    <row r="6" spans="1:16" x14ac:dyDescent="0.3">
      <c r="A6">
        <v>0.31</v>
      </c>
      <c r="B6" s="28">
        <f t="shared" si="0"/>
        <v>200.00004488015844</v>
      </c>
      <c r="C6" s="130">
        <v>35.385553469000818</v>
      </c>
      <c r="I6" s="4" t="s">
        <v>38</v>
      </c>
      <c r="J6" s="31" t="s">
        <v>39</v>
      </c>
      <c r="K6" s="32" t="s">
        <v>40</v>
      </c>
      <c r="L6" s="44" t="s">
        <v>40</v>
      </c>
      <c r="M6" s="5" t="s">
        <v>49</v>
      </c>
      <c r="O6" s="110" t="s">
        <v>15</v>
      </c>
      <c r="P6" s="110">
        <v>0.29139999999999999</v>
      </c>
    </row>
    <row r="7" spans="1:16" x14ac:dyDescent="0.3">
      <c r="A7">
        <v>0.315</v>
      </c>
      <c r="B7" s="28">
        <f t="shared" si="0"/>
        <v>200.00004475593551</v>
      </c>
      <c r="C7" s="130">
        <v>35.189073005010371</v>
      </c>
      <c r="I7" s="107" t="s">
        <v>93</v>
      </c>
      <c r="J7" s="54">
        <v>10</v>
      </c>
      <c r="K7" s="54">
        <v>0</v>
      </c>
      <c r="L7" s="43">
        <v>0</v>
      </c>
      <c r="M7" s="5" t="s">
        <v>48</v>
      </c>
    </row>
    <row r="8" spans="1:16" x14ac:dyDescent="0.3">
      <c r="A8">
        <v>0.32</v>
      </c>
      <c r="B8" s="28">
        <f t="shared" si="0"/>
        <v>200.00004463316347</v>
      </c>
      <c r="C8" s="130">
        <v>34.997027996174118</v>
      </c>
      <c r="I8" s="107" t="s">
        <v>111</v>
      </c>
      <c r="J8" s="138">
        <v>2</v>
      </c>
      <c r="K8" s="138">
        <v>2</v>
      </c>
      <c r="L8" s="139">
        <v>2</v>
      </c>
      <c r="M8" s="5"/>
    </row>
    <row r="9" spans="1:16" x14ac:dyDescent="0.3">
      <c r="A9">
        <v>0.32500000000000001</v>
      </c>
      <c r="B9" s="28">
        <f t="shared" si="0"/>
        <v>200.00004451182343</v>
      </c>
      <c r="C9" s="130">
        <v>34.809244501229969</v>
      </c>
      <c r="I9" s="4" t="s">
        <v>103</v>
      </c>
      <c r="J9" s="6">
        <v>30</v>
      </c>
      <c r="K9" s="6">
        <v>28</v>
      </c>
      <c r="L9" s="6">
        <v>28</v>
      </c>
      <c r="M9" s="5"/>
    </row>
    <row r="10" spans="1:16" x14ac:dyDescent="0.3">
      <c r="A10">
        <v>0.33</v>
      </c>
      <c r="B10" s="28">
        <f t="shared" si="0"/>
        <v>200.00004439189576</v>
      </c>
      <c r="C10" s="130">
        <v>34.625558207635329</v>
      </c>
      <c r="I10" s="4" t="s">
        <v>107</v>
      </c>
      <c r="J10" s="6">
        <v>11</v>
      </c>
      <c r="K10" s="6">
        <v>11</v>
      </c>
      <c r="L10" s="6">
        <v>11</v>
      </c>
      <c r="M10" s="5"/>
    </row>
    <row r="11" spans="1:16" x14ac:dyDescent="0.3">
      <c r="A11">
        <v>0.33500000000000002</v>
      </c>
      <c r="B11" s="28">
        <f t="shared" si="0"/>
        <v>200.00004427336029</v>
      </c>
      <c r="C11" s="130">
        <v>34.445813748020448</v>
      </c>
      <c r="I11" s="4" t="s">
        <v>104</v>
      </c>
      <c r="J11" s="6">
        <v>36</v>
      </c>
      <c r="K11" s="6">
        <v>34</v>
      </c>
      <c r="L11" s="6">
        <v>34</v>
      </c>
      <c r="M11" s="5"/>
    </row>
    <row r="12" spans="1:16" x14ac:dyDescent="0.3">
      <c r="A12">
        <v>0.34</v>
      </c>
      <c r="B12" s="28">
        <f t="shared" si="0"/>
        <v>200.00004415619674</v>
      </c>
      <c r="C12" s="130">
        <v>34.269864075517091</v>
      </c>
      <c r="I12" s="4" t="s">
        <v>108</v>
      </c>
      <c r="J12" s="6">
        <v>52</v>
      </c>
      <c r="K12" s="6">
        <v>50</v>
      </c>
      <c r="L12" s="6">
        <v>50</v>
      </c>
      <c r="M12" s="5"/>
    </row>
    <row r="13" spans="1:16" x14ac:dyDescent="0.3">
      <c r="A13">
        <v>0.34499999999999997</v>
      </c>
      <c r="B13" s="28">
        <f t="shared" si="0"/>
        <v>200.00004404038407</v>
      </c>
      <c r="C13" s="130">
        <v>34.097569892028027</v>
      </c>
      <c r="I13" s="4" t="s">
        <v>105</v>
      </c>
      <c r="J13" s="6">
        <v>170</v>
      </c>
      <c r="K13" s="6">
        <v>172.5</v>
      </c>
      <c r="L13" s="6">
        <v>172.5</v>
      </c>
      <c r="M13" s="5"/>
    </row>
    <row r="14" spans="1:16" x14ac:dyDescent="0.3">
      <c r="A14">
        <v>0.35</v>
      </c>
      <c r="B14" s="28">
        <f t="shared" si="0"/>
        <v>200.00004392590145</v>
      </c>
      <c r="C14" s="130">
        <v>33.928799124185232</v>
      </c>
      <c r="I14" s="4" t="s">
        <v>109</v>
      </c>
      <c r="J14" s="28">
        <f>(J11/J9)*PI()*0.7*(J23/60)*3.6</f>
        <v>12.666901579274045</v>
      </c>
      <c r="K14" s="28">
        <f>(K11/K9)*PI()*0.7*(J23/60)*3.6</f>
        <v>12.817698026646353</v>
      </c>
      <c r="L14" s="28">
        <f>(L11/L9)*PI()*0.7*(M23/60)*3.6</f>
        <v>12.817698026646353</v>
      </c>
      <c r="M14" s="5"/>
    </row>
    <row r="15" spans="1:16" x14ac:dyDescent="0.3">
      <c r="A15">
        <v>0.35499999999999998</v>
      </c>
      <c r="B15" s="28">
        <f t="shared" si="0"/>
        <v>200.00004381272825</v>
      </c>
      <c r="C15" s="130">
        <v>33.763426442339401</v>
      </c>
      <c r="I15" s="4" t="s">
        <v>110</v>
      </c>
      <c r="J15" s="28">
        <f>(J12/J10)*PI()*0.7*(J23/60)*3.6</f>
        <v>49.899915312291697</v>
      </c>
      <c r="K15" s="28">
        <f>(K12/K10)*PI()*0.7*(J23/60)*3.6</f>
        <v>47.980687800280471</v>
      </c>
      <c r="L15" s="28">
        <f>(L12/L10)*PI()*0.7*(M23/60)*3.6</f>
        <v>47.980687800280471</v>
      </c>
      <c r="M15" s="5"/>
    </row>
    <row r="16" spans="1:16" x14ac:dyDescent="0.3">
      <c r="A16">
        <v>0.36</v>
      </c>
      <c r="B16" s="28">
        <f t="shared" si="0"/>
        <v>200.00004370084301</v>
      </c>
      <c r="C16" s="130">
        <v>33.601332818442451</v>
      </c>
      <c r="I16" s="4"/>
      <c r="M16" s="5"/>
    </row>
    <row r="17" spans="1:15" x14ac:dyDescent="0.3">
      <c r="A17">
        <v>0.36499999999999999</v>
      </c>
      <c r="B17" s="28">
        <f t="shared" si="0"/>
        <v>200.00004359022506</v>
      </c>
      <c r="C17" s="130">
        <v>33.442405119139551</v>
      </c>
      <c r="I17" s="4"/>
      <c r="M17" s="5"/>
    </row>
    <row r="18" spans="1:15" ht="16.2" thickBot="1" x14ac:dyDescent="0.35">
      <c r="A18">
        <v>0.37</v>
      </c>
      <c r="B18" s="28">
        <f t="shared" si="0"/>
        <v>200.00004348085358</v>
      </c>
      <c r="C18" s="130">
        <v>33.286535730784934</v>
      </c>
      <c r="I18" s="174" t="s">
        <v>74</v>
      </c>
      <c r="J18" s="175"/>
      <c r="K18" s="175"/>
      <c r="L18" s="175"/>
      <c r="M18" s="176"/>
    </row>
    <row r="19" spans="1:15" x14ac:dyDescent="0.3">
      <c r="A19">
        <v>0.375</v>
      </c>
      <c r="B19" s="28">
        <f t="shared" si="0"/>
        <v>200.00004337270747</v>
      </c>
      <c r="C19" s="130">
        <v>33.133622213446685</v>
      </c>
      <c r="I19" s="4" t="s">
        <v>75</v>
      </c>
      <c r="J19" s="6">
        <v>63</v>
      </c>
      <c r="K19" s="1"/>
      <c r="L19" t="s">
        <v>55</v>
      </c>
      <c r="M19" s="14">
        <v>74</v>
      </c>
      <c r="N19" s="111"/>
      <c r="O19" s="111"/>
    </row>
    <row r="20" spans="1:15" x14ac:dyDescent="0.3">
      <c r="A20">
        <v>0.38</v>
      </c>
      <c r="B20" s="28">
        <f t="shared" si="0"/>
        <v>200.00004326576681</v>
      </c>
      <c r="C20" s="130">
        <v>32.98356698127354</v>
      </c>
      <c r="I20" s="4" t="s">
        <v>65</v>
      </c>
      <c r="J20" s="6">
        <v>200</v>
      </c>
      <c r="L20" t="s">
        <v>65</v>
      </c>
      <c r="M20" s="14">
        <v>215</v>
      </c>
      <c r="N20" s="111"/>
      <c r="O20" s="111"/>
    </row>
    <row r="21" spans="1:15" x14ac:dyDescent="0.3">
      <c r="A21">
        <v>0.38500000000000001</v>
      </c>
      <c r="B21" s="28">
        <f t="shared" si="0"/>
        <v>200.00004316001073</v>
      </c>
      <c r="C21" s="130">
        <v>32.836277006868791</v>
      </c>
      <c r="I21" s="4" t="s">
        <v>47</v>
      </c>
      <c r="J21" s="6">
        <v>0.32500000000000001</v>
      </c>
      <c r="L21" t="s">
        <v>47</v>
      </c>
      <c r="M21" s="14">
        <v>0.33</v>
      </c>
    </row>
    <row r="22" spans="1:15" x14ac:dyDescent="0.3">
      <c r="A22">
        <v>0.39</v>
      </c>
      <c r="B22" s="28">
        <f t="shared" si="0"/>
        <v>200.0000430554195</v>
      </c>
      <c r="C22" s="130">
        <v>32.691663547557191</v>
      </c>
      <c r="I22" s="4" t="s">
        <v>72</v>
      </c>
      <c r="J22" s="19">
        <f>J20/J19</f>
        <v>3.1746031746031744</v>
      </c>
      <c r="L22" t="s">
        <v>72</v>
      </c>
      <c r="M22" s="114">
        <f>M20/M19</f>
        <v>2.9054054054054053</v>
      </c>
    </row>
    <row r="23" spans="1:15" x14ac:dyDescent="0.3">
      <c r="A23">
        <v>0.39500000000000002</v>
      </c>
      <c r="B23" s="28">
        <f t="shared" si="0"/>
        <v>200.00004295197297</v>
      </c>
      <c r="C23" s="130">
        <v>32.549641891643027</v>
      </c>
      <c r="I23" s="4" t="s">
        <v>102</v>
      </c>
      <c r="J23" s="137">
        <v>80</v>
      </c>
      <c r="L23" t="s">
        <v>102</v>
      </c>
      <c r="M23" s="14">
        <v>80</v>
      </c>
    </row>
    <row r="24" spans="1:15" x14ac:dyDescent="0.3">
      <c r="A24">
        <v>0.4</v>
      </c>
      <c r="B24" s="28">
        <f t="shared" si="0"/>
        <v>200.00004284965189</v>
      </c>
      <c r="C24" s="130">
        <v>32.410131122946957</v>
      </c>
      <c r="I24" s="4" t="s">
        <v>106</v>
      </c>
      <c r="J24" s="28">
        <f>(J20*60)/(J13*10^-3*J23*2*PI())</f>
        <v>140.43083213990764</v>
      </c>
      <c r="L24" t="s">
        <v>106</v>
      </c>
      <c r="M24" s="29">
        <f>(M20*60)/(L13*10^-3*M23*2*PI())</f>
        <v>148.77527289024999</v>
      </c>
    </row>
    <row r="25" spans="1:15" x14ac:dyDescent="0.3">
      <c r="A25">
        <v>0.40500000000000003</v>
      </c>
      <c r="B25" s="28">
        <f t="shared" si="0"/>
        <v>200.00004274843658</v>
      </c>
      <c r="C25" s="130">
        <v>32.273053902076597</v>
      </c>
      <c r="I25" s="4"/>
      <c r="M25" s="5"/>
    </row>
    <row r="26" spans="1:15" ht="15" thickBot="1" x14ac:dyDescent="0.35">
      <c r="A26">
        <v>0.41</v>
      </c>
      <c r="B26" s="28">
        <f t="shared" si="0"/>
        <v>200.00004264830835</v>
      </c>
      <c r="C26" s="130">
        <v>32.138336263035455</v>
      </c>
      <c r="I26" s="4"/>
      <c r="M26" s="5"/>
    </row>
    <row r="27" spans="1:15" ht="16.2" thickBot="1" x14ac:dyDescent="0.35">
      <c r="I27" s="184" t="s">
        <v>76</v>
      </c>
      <c r="J27" s="185"/>
      <c r="K27" s="185"/>
      <c r="L27" s="185"/>
      <c r="M27" s="186"/>
    </row>
    <row r="28" spans="1:15" x14ac:dyDescent="0.3">
      <c r="I28" s="4" t="s">
        <v>69</v>
      </c>
      <c r="J28" s="6">
        <v>100</v>
      </c>
      <c r="L28" t="s">
        <v>17</v>
      </c>
      <c r="M28" s="14">
        <v>0</v>
      </c>
      <c r="N28" s="153" t="s">
        <v>88</v>
      </c>
      <c r="O28" s="153"/>
    </row>
    <row r="29" spans="1:15" x14ac:dyDescent="0.3">
      <c r="I29" s="4" t="s">
        <v>12</v>
      </c>
      <c r="J29" s="6">
        <v>20</v>
      </c>
      <c r="L29" t="s">
        <v>16</v>
      </c>
      <c r="M29" s="5">
        <f>M28/3.6</f>
        <v>0</v>
      </c>
      <c r="N29" s="153"/>
      <c r="O29" s="153"/>
    </row>
    <row r="30" spans="1:15" x14ac:dyDescent="0.3">
      <c r="I30" s="4" t="s">
        <v>78</v>
      </c>
      <c r="J30">
        <f>J29+273.15</f>
        <v>293.14999999999998</v>
      </c>
      <c r="M30" s="5"/>
    </row>
    <row r="31" spans="1:15" x14ac:dyDescent="0.3">
      <c r="I31" s="4" t="s">
        <v>97</v>
      </c>
      <c r="J31" s="6">
        <v>100</v>
      </c>
      <c r="M31" s="5"/>
    </row>
    <row r="32" spans="1:15" x14ac:dyDescent="0.3">
      <c r="I32" s="4"/>
      <c r="M32" s="5"/>
    </row>
    <row r="33" spans="9:13" ht="15" thickBot="1" x14ac:dyDescent="0.35">
      <c r="I33" s="4"/>
      <c r="M33" s="5"/>
    </row>
    <row r="34" spans="9:13" ht="16.2" thickBot="1" x14ac:dyDescent="0.35">
      <c r="I34" s="187" t="s">
        <v>77</v>
      </c>
      <c r="J34" s="188"/>
      <c r="K34" s="188"/>
      <c r="L34" s="188"/>
      <c r="M34" s="189"/>
    </row>
    <row r="35" spans="9:13" x14ac:dyDescent="0.3">
      <c r="I35" s="7" t="s">
        <v>81</v>
      </c>
      <c r="J35">
        <v>1.2250000000000001</v>
      </c>
      <c r="L35" t="s">
        <v>9</v>
      </c>
      <c r="M35" s="116">
        <v>5.0000000000000001E-3</v>
      </c>
    </row>
    <row r="36" spans="9:13" x14ac:dyDescent="0.3">
      <c r="I36" s="4" t="s">
        <v>11</v>
      </c>
      <c r="J36">
        <v>8.3144500000000008</v>
      </c>
      <c r="L36" t="s">
        <v>5</v>
      </c>
      <c r="M36" s="8">
        <v>0.03</v>
      </c>
    </row>
    <row r="37" spans="9:13" x14ac:dyDescent="0.3">
      <c r="I37" s="7" t="s">
        <v>44</v>
      </c>
      <c r="J37">
        <v>2.8964400000000001E-2</v>
      </c>
      <c r="M37" s="5"/>
    </row>
    <row r="38" spans="9:13" x14ac:dyDescent="0.3">
      <c r="I38" s="4" t="s">
        <v>80</v>
      </c>
      <c r="J38">
        <f>J35*EXP((-M38*J37*J28)/(J36*J30))</f>
        <v>1.2108080798932019</v>
      </c>
      <c r="L38" t="s">
        <v>7</v>
      </c>
      <c r="M38" s="5">
        <v>9.8059999999999992</v>
      </c>
    </row>
    <row r="39" spans="9:13" x14ac:dyDescent="0.3">
      <c r="I39" s="4"/>
      <c r="M39" s="5"/>
    </row>
    <row r="40" spans="9:13" ht="15" thickBot="1" x14ac:dyDescent="0.35">
      <c r="I40" s="10"/>
      <c r="J40" s="11"/>
      <c r="K40" s="11"/>
      <c r="L40" s="11"/>
      <c r="M40" s="12"/>
    </row>
  </sheetData>
  <mergeCells count="7">
    <mergeCell ref="I34:M34"/>
    <mergeCell ref="I1:M1"/>
    <mergeCell ref="O1:P1"/>
    <mergeCell ref="O2:P2"/>
    <mergeCell ref="I18:M18"/>
    <mergeCell ref="I27:M27"/>
    <mergeCell ref="N28:O2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répartition</vt:lpstr>
      <vt:lpstr>W ou WpKg constant</vt:lpstr>
      <vt:lpstr>2 profils</vt:lpstr>
      <vt:lpstr>temps de montée</vt:lpstr>
      <vt:lpstr>puissance 2E %V</vt:lpstr>
      <vt:lpstr>vitesse en fonction du CdA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Loïc Bouxirot</dc:creator>
  <cp:lastModifiedBy>Loïc Bouxirot</cp:lastModifiedBy>
  <dcterms:created xsi:type="dcterms:W3CDTF">2023-04-06T12:42:54Z</dcterms:created>
  <dcterms:modified xsi:type="dcterms:W3CDTF">2023-05-19T19:09:03Z</dcterms:modified>
</cp:coreProperties>
</file>